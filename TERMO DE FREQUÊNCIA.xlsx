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90" yWindow="135" windowWidth="15600" windowHeight="5790" firstSheet="4" activeTab="4"/>
  </bookViews>
  <sheets>
    <sheet name="2ª e 5ª Classe" sheetId="1" r:id="rId1"/>
    <sheet name="2ª e 5ª Classe (2)" sheetId="5" r:id="rId2"/>
    <sheet name="2ª e 5ª Classe (5)" sheetId="8" r:id="rId3"/>
    <sheet name="2ª e 5ª Classe (3)" sheetId="6" r:id="rId4"/>
    <sheet name="2ª e 5ª Classe (4)" sheetId="7" r:id="rId5"/>
    <sheet name="Termo da 7ª e 8ª Classe (2)" sheetId="4" r:id="rId6"/>
    <sheet name="Termo da 9ª Classe" sheetId="2" r:id="rId7"/>
    <sheet name="6ª Classe" sheetId="3" r:id="rId8"/>
  </sheets>
  <calcPr calcId="124519"/>
</workbook>
</file>

<file path=xl/calcChain.xml><?xml version="1.0" encoding="utf-8"?>
<calcChain xmlns="http://schemas.openxmlformats.org/spreadsheetml/2006/main">
  <c r="G24" i="8"/>
  <c r="D24"/>
  <c r="G23"/>
  <c r="D23"/>
  <c r="G22"/>
  <c r="D22"/>
  <c r="G21"/>
  <c r="D21"/>
  <c r="G20"/>
  <c r="D20"/>
  <c r="G19"/>
  <c r="D19"/>
  <c r="G18"/>
  <c r="D18"/>
  <c r="J23" i="7"/>
  <c r="G23"/>
  <c r="D23"/>
  <c r="J22"/>
  <c r="G22"/>
  <c r="D22"/>
  <c r="J21"/>
  <c r="G21"/>
  <c r="D21"/>
  <c r="J20"/>
  <c r="G20"/>
  <c r="D20"/>
  <c r="J19"/>
  <c r="G19"/>
  <c r="D19"/>
  <c r="J18"/>
  <c r="G18"/>
  <c r="D18"/>
  <c r="M24" i="6"/>
  <c r="K24"/>
  <c r="J24"/>
  <c r="G24"/>
  <c r="D24"/>
  <c r="K23"/>
  <c r="M23" s="1"/>
  <c r="J23"/>
  <c r="G23"/>
  <c r="D23"/>
  <c r="M22"/>
  <c r="K22"/>
  <c r="J22"/>
  <c r="G22"/>
  <c r="D22"/>
  <c r="M21"/>
  <c r="K21"/>
  <c r="J21"/>
  <c r="G21"/>
  <c r="D21"/>
  <c r="M20"/>
  <c r="K20"/>
  <c r="J20"/>
  <c r="G20"/>
  <c r="D20"/>
  <c r="K19"/>
  <c r="M19" s="1"/>
  <c r="J19"/>
  <c r="G19"/>
  <c r="D19"/>
  <c r="M18"/>
  <c r="K18"/>
  <c r="J18"/>
  <c r="G18"/>
  <c r="D18"/>
  <c r="M18" i="1"/>
  <c r="K19"/>
  <c r="M19" s="1"/>
  <c r="M20"/>
  <c r="M21"/>
  <c r="M22"/>
  <c r="M23"/>
  <c r="M24"/>
  <c r="K20"/>
  <c r="K21"/>
  <c r="K22"/>
  <c r="K23"/>
  <c r="K24"/>
  <c r="K18"/>
  <c r="J19"/>
  <c r="J20"/>
  <c r="J21"/>
  <c r="J22"/>
  <c r="J23"/>
  <c r="J24"/>
  <c r="J18"/>
  <c r="G19"/>
  <c r="G20"/>
  <c r="G21"/>
  <c r="G22"/>
  <c r="G23"/>
  <c r="G24"/>
  <c r="G18"/>
  <c r="D19"/>
  <c r="D20"/>
  <c r="D21"/>
  <c r="D22"/>
  <c r="D23"/>
  <c r="D24"/>
  <c r="D18"/>
  <c r="M19" i="5"/>
  <c r="M20"/>
  <c r="M21"/>
  <c r="M22"/>
  <c r="M23"/>
  <c r="M24"/>
  <c r="M18"/>
  <c r="K19"/>
  <c r="K20"/>
  <c r="K21"/>
  <c r="K22"/>
  <c r="K23"/>
  <c r="K24"/>
  <c r="K18"/>
  <c r="J19"/>
  <c r="J20"/>
  <c r="J21"/>
  <c r="J22"/>
  <c r="J23"/>
  <c r="J24"/>
  <c r="G19"/>
  <c r="G20"/>
  <c r="G21"/>
  <c r="G22"/>
  <c r="G23"/>
  <c r="G24"/>
  <c r="D18"/>
  <c r="G18"/>
  <c r="J18"/>
  <c r="D19"/>
  <c r="D20"/>
  <c r="D21"/>
  <c r="D22"/>
  <c r="D23"/>
  <c r="D24"/>
  <c r="K23" i="7" l="1"/>
  <c r="M23" s="1"/>
  <c r="K21"/>
  <c r="M21" s="1"/>
  <c r="K22"/>
  <c r="M22" s="1"/>
  <c r="K19"/>
  <c r="M19" s="1"/>
  <c r="K20"/>
  <c r="M20" s="1"/>
  <c r="K18"/>
  <c r="M18" s="1"/>
</calcChain>
</file>

<file path=xl/sharedStrings.xml><?xml version="1.0" encoding="utf-8"?>
<sst xmlns="http://schemas.openxmlformats.org/spreadsheetml/2006/main" count="365" uniqueCount="135">
  <si>
    <t>REPÚBLICA DE ANGOLA</t>
  </si>
  <si>
    <t>MINISTÉRIO DA EDUCAÇÃO</t>
  </si>
  <si>
    <t>ENSINO GERAL</t>
  </si>
  <si>
    <t>TERMO DE MATRÍCULA E FREQUÊNCIA</t>
  </si>
  <si>
    <t>Disciplinas</t>
  </si>
  <si>
    <t>Iº Trimestre</t>
  </si>
  <si>
    <t>MAC</t>
  </si>
  <si>
    <t>CPP</t>
  </si>
  <si>
    <t>CT</t>
  </si>
  <si>
    <t>CAP</t>
  </si>
  <si>
    <t>CPE</t>
  </si>
  <si>
    <t>CF</t>
  </si>
  <si>
    <t>L. Portuguesa</t>
  </si>
  <si>
    <t>L. Estrangeira</t>
  </si>
  <si>
    <t>Matemática</t>
  </si>
  <si>
    <t>Biologia</t>
  </si>
  <si>
    <t>Física</t>
  </si>
  <si>
    <t>Química</t>
  </si>
  <si>
    <t>Geografia</t>
  </si>
  <si>
    <t>História</t>
  </si>
  <si>
    <t>Ed. Física</t>
  </si>
  <si>
    <t>E. V. P</t>
  </si>
  <si>
    <t>E. M. C</t>
  </si>
  <si>
    <t>Ed. Laboral</t>
  </si>
  <si>
    <t>____________________________________________________</t>
  </si>
  <si>
    <t>Valores</t>
  </si>
  <si>
    <t>Com a média (          )</t>
  </si>
  <si>
    <r>
      <rPr>
        <b/>
        <sz val="14"/>
        <color theme="1"/>
        <rFont val="Times New Roman"/>
        <family val="1"/>
      </rPr>
      <t>OBS:</t>
    </r>
    <r>
      <rPr>
        <sz val="14"/>
        <color theme="1"/>
        <rFont val="Times New Roman"/>
        <family val="1"/>
      </rPr>
      <t>________________________________________________</t>
    </r>
  </si>
  <si>
    <t>Viana, _______ de ___________________ de 20_______</t>
  </si>
  <si>
    <t>O DIRECTOR DE TUMA</t>
  </si>
  <si>
    <t>______________________________________________</t>
  </si>
  <si>
    <t>_______________________________________________</t>
  </si>
  <si>
    <t>FOTO</t>
  </si>
  <si>
    <t>Viana, _______ de ___________________ de 20________</t>
  </si>
  <si>
    <r>
      <t xml:space="preserve">a) Transita ( </t>
    </r>
    <r>
      <rPr>
        <b/>
        <i/>
        <sz val="14"/>
        <color rgb="FF0070C0"/>
        <rFont val="Times New Roman"/>
        <family val="1"/>
      </rPr>
      <t>Azul</t>
    </r>
    <r>
      <rPr>
        <sz val="14"/>
        <color theme="1"/>
        <rFont val="Times New Roman"/>
        <family val="1"/>
      </rPr>
      <t xml:space="preserve">) e Não Transita ( </t>
    </r>
    <r>
      <rPr>
        <b/>
        <i/>
        <sz val="14"/>
        <color rgb="FFFF0000"/>
        <rFont val="Times New Roman"/>
        <family val="1"/>
      </rPr>
      <t>Vermelho</t>
    </r>
    <r>
      <rPr>
        <sz val="14"/>
        <color theme="1"/>
        <rFont val="Times New Roman"/>
        <family val="1"/>
      </rPr>
      <t>)</t>
    </r>
  </si>
  <si>
    <t>IIº Trimestre</t>
  </si>
  <si>
    <t>IIIº Trimestre</t>
  </si>
  <si>
    <t>Média Geral</t>
  </si>
  <si>
    <t>Empreended.</t>
  </si>
  <si>
    <t xml:space="preserve">     TERMO DE EXAME</t>
  </si>
  <si>
    <t>Natural de _________________________________ Província de _____________________________ Município de __________________________</t>
  </si>
  <si>
    <t>Filho ( a ) _____________________________________________________  e de ___________________________________________________</t>
  </si>
  <si>
    <t>Nascido (a) aos,____________ de ________________________ de ____________</t>
  </si>
  <si>
    <r>
      <t xml:space="preserve">Fez exame da </t>
    </r>
    <r>
      <rPr>
        <b/>
        <sz val="14"/>
        <color theme="1"/>
        <rFont val="Times New Roman"/>
        <family val="1"/>
      </rPr>
      <t>9ª Classe</t>
    </r>
    <r>
      <rPr>
        <sz val="14"/>
        <color theme="1"/>
        <rFont val="Times New Roman"/>
        <family val="1"/>
      </rPr>
      <t>, pelo que foi considerado (a) _______________________________ de acordo com as classificações abaixo designadas</t>
    </r>
  </si>
  <si>
    <t>O JÚRI</t>
  </si>
  <si>
    <t>Ano Lectivo _______________</t>
  </si>
  <si>
    <t>_________ Classe, Turma______________ Nº _________</t>
  </si>
  <si>
    <t>REGULAR/ADULTO</t>
  </si>
  <si>
    <t>O EXAMINANDO</t>
  </si>
  <si>
    <t>DISCIPLINAS</t>
  </si>
  <si>
    <t>1º Trim.</t>
  </si>
  <si>
    <t>2º Trim.</t>
  </si>
  <si>
    <t>3º Trim.</t>
  </si>
  <si>
    <t>Resul. Final</t>
  </si>
  <si>
    <t>Exame 1ª Época</t>
  </si>
  <si>
    <t>Exame 2ª Época</t>
  </si>
  <si>
    <t>Obs:____________________________________________</t>
  </si>
  <si>
    <r>
      <t xml:space="preserve">Fez exame da </t>
    </r>
    <r>
      <rPr>
        <b/>
        <sz val="16"/>
        <color theme="1"/>
        <rFont val="Times New Roman"/>
        <family val="1"/>
      </rPr>
      <t>6ª Classe</t>
    </r>
    <r>
      <rPr>
        <sz val="16"/>
        <color theme="1"/>
        <rFont val="Times New Roman"/>
        <family val="1"/>
      </rPr>
      <t>, pelo que foi considerado (a) _______________________________ de acordo com as classificações abaixo designadas</t>
    </r>
  </si>
  <si>
    <r>
      <t xml:space="preserve">a) Transita ( </t>
    </r>
    <r>
      <rPr>
        <b/>
        <i/>
        <sz val="16"/>
        <color rgb="FF002060"/>
        <rFont val="Times New Roman"/>
        <family val="1"/>
      </rPr>
      <t>Azul</t>
    </r>
    <r>
      <rPr>
        <sz val="16"/>
        <color theme="1"/>
        <rFont val="Times New Roman"/>
        <family val="1"/>
      </rPr>
      <t xml:space="preserve">) e Não Transita ( </t>
    </r>
    <r>
      <rPr>
        <b/>
        <i/>
        <sz val="16"/>
        <color rgb="FFFF0000"/>
        <rFont val="Times New Roman"/>
        <family val="1"/>
      </rPr>
      <t>Vermelho</t>
    </r>
    <r>
      <rPr>
        <sz val="16"/>
        <color theme="1"/>
        <rFont val="Times New Roman"/>
        <family val="1"/>
      </rPr>
      <t>)</t>
    </r>
  </si>
  <si>
    <t>ESCOLA:_____________________________________________________________________________________________________</t>
  </si>
  <si>
    <t>________________________________________________</t>
  </si>
  <si>
    <t xml:space="preserve">COMPLEXO ESCOLAR PRIVADO KUDIHAKA N´DANGE </t>
  </si>
  <si>
    <t>Natural  de: Kilamba Kiaxi, Província de: Luanda, Município de Kilamba Kiaxi</t>
  </si>
  <si>
    <t>Na Comuna de ==================== Nascido (a) aos, 30 de Julho de 2005</t>
  </si>
  <si>
    <t xml:space="preserve">Filho (a) de: ==================== e de Josefa Alberto Zua </t>
  </si>
  <si>
    <t>Nome do Encarregado de EducaçãoJosefina Albero Zua, Telefone__________________________</t>
  </si>
  <si>
    <t>Est. Meio</t>
  </si>
  <si>
    <t>L. Portu</t>
  </si>
  <si>
    <t xml:space="preserve">Mat. </t>
  </si>
  <si>
    <t xml:space="preserve">Ed. M. Plástica </t>
  </si>
  <si>
    <t>Ed. Musical</t>
  </si>
  <si>
    <t xml:space="preserve">Inglês </t>
  </si>
  <si>
    <t xml:space="preserve">Ed. Física </t>
  </si>
  <si>
    <r>
      <t xml:space="preserve">      Com a média (</t>
    </r>
    <r>
      <rPr>
        <sz val="14"/>
        <color rgb="FF0070C0"/>
        <rFont val="Times New Roman"/>
        <family val="1"/>
      </rPr>
      <t>7</t>
    </r>
    <r>
      <rPr>
        <sz val="14"/>
        <color theme="1"/>
        <rFont val="Times New Roman"/>
        <family val="1"/>
      </rPr>
      <t>)</t>
    </r>
  </si>
  <si>
    <t>Viana, 15 de Novembro de 2019</t>
  </si>
  <si>
    <r>
      <t xml:space="preserve">         Com a média (</t>
    </r>
    <r>
      <rPr>
        <b/>
        <sz val="14"/>
        <color rgb="FF0070C0"/>
        <rFont val="Times New Roman"/>
        <family val="1"/>
      </rPr>
      <t>6</t>
    </r>
    <r>
      <rPr>
        <sz val="14"/>
        <color theme="1"/>
        <rFont val="Times New Roman"/>
        <family val="1"/>
      </rPr>
      <t>)</t>
    </r>
  </si>
  <si>
    <t>O DIRECTOR DE TURMA</t>
  </si>
  <si>
    <t>Nome do Encarregado de Educação: Josefina Albero Zua, Telefone__________________________</t>
  </si>
  <si>
    <r>
      <t xml:space="preserve">Ano Lectivo 2015             Ensino: Primário       </t>
    </r>
    <r>
      <rPr>
        <sz val="14"/>
        <color rgb="FFFF0000"/>
        <rFont val="Times New Roman"/>
        <family val="1"/>
      </rPr>
      <t xml:space="preserve"> 2</t>
    </r>
    <r>
      <rPr>
        <sz val="14"/>
        <color rgb="FFFF0000"/>
        <rFont val="Calibri"/>
        <family val="2"/>
      </rPr>
      <t>ª</t>
    </r>
    <r>
      <rPr>
        <sz val="14"/>
        <color rgb="FFFF0000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Classe,      Nº 23,    Turma MA,      Turno: Manhã</t>
    </r>
  </si>
  <si>
    <r>
      <t xml:space="preserve">Ano Lectivo 2017             Ensino Primário        </t>
    </r>
    <r>
      <rPr>
        <sz val="14"/>
        <color rgb="FFFF0000"/>
        <rFont val="Times New Roman"/>
        <family val="1"/>
      </rPr>
      <t>4</t>
    </r>
    <r>
      <rPr>
        <sz val="14"/>
        <color rgb="FFFF0000"/>
        <rFont val="Calibri"/>
        <family val="2"/>
      </rPr>
      <t>ª</t>
    </r>
    <r>
      <rPr>
        <sz val="14"/>
        <color rgb="FFFF0000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Classe,      Nº 27,    Turma MA,      TurnoManhã</t>
    </r>
  </si>
  <si>
    <r>
      <t xml:space="preserve">Nome do aluno (a): </t>
    </r>
    <r>
      <rPr>
        <b/>
        <sz val="14"/>
        <color rgb="FFFF0000"/>
        <rFont val="Times New Roman"/>
        <family val="1"/>
      </rPr>
      <t xml:space="preserve">Marta Josefina Zua </t>
    </r>
  </si>
  <si>
    <r>
      <t xml:space="preserve">Nome do aluno (a): </t>
    </r>
    <r>
      <rPr>
        <b/>
        <sz val="14"/>
        <color rgb="FFFF0000"/>
        <rFont val="Times New Roman"/>
        <family val="1"/>
      </rPr>
      <t>Dulce Arsénio Luanda</t>
    </r>
    <r>
      <rPr>
        <sz val="14"/>
        <color theme="1"/>
        <rFont val="Times New Roman"/>
        <family val="1"/>
      </rPr>
      <t xml:space="preserve"> </t>
    </r>
    <r>
      <rPr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Times New Roman"/>
        <family val="1"/>
      </rPr>
      <t xml:space="preserve"> </t>
    </r>
  </si>
  <si>
    <t>Natural  de: Viana, Província de Luanda, Município de Viana</t>
  </si>
  <si>
    <t>Na Comuna de ==================== Nascido (a) aos, 06 de Novembro de 2008</t>
  </si>
  <si>
    <t>Filho (a) de: Platíni Luanda Arsénio e de Jandira Maura Francisco Arsénio</t>
  </si>
  <si>
    <t>Nome do Encarregado de Educação: Platíni Luanda Arsénio, Telefone__________________________</t>
  </si>
  <si>
    <r>
      <t xml:space="preserve">Ano Lectivo 2017             Ensino: Primário       </t>
    </r>
    <r>
      <rPr>
        <sz val="14"/>
        <color rgb="FFFF0000"/>
        <rFont val="Times New Roman"/>
        <family val="1"/>
      </rPr>
      <t xml:space="preserve"> 4</t>
    </r>
    <r>
      <rPr>
        <sz val="14"/>
        <color rgb="FFFF0000"/>
        <rFont val="Calibri"/>
        <family val="2"/>
      </rPr>
      <t>ª</t>
    </r>
    <r>
      <rPr>
        <sz val="14"/>
        <color rgb="FFFF0000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Classe,      Nº 19,    Turma MA,      Turno: Manhã</t>
    </r>
  </si>
  <si>
    <t>Viana, 27 de Novembro de 2019</t>
  </si>
  <si>
    <r>
      <t xml:space="preserve">Nome do aluno (a): </t>
    </r>
    <r>
      <rPr>
        <b/>
        <sz val="14"/>
        <color rgb="FFFF0000"/>
        <rFont val="Times New Roman"/>
        <family val="1"/>
      </rPr>
      <t xml:space="preserve">Sivetlânia Cahanda de Almeida  </t>
    </r>
  </si>
  <si>
    <t>Natural  de: Maculusso, Província de: Luanda, Município de Ingombota</t>
  </si>
  <si>
    <t>Na Comuna de ==================== Nascido (a) aos, 09 de Fevereiro de 2012</t>
  </si>
  <si>
    <t xml:space="preserve">Filho (a) de: Domingos Pedro de Almeida e de Márcia Suraya Ernesto Cahanda  </t>
  </si>
  <si>
    <t>Nome do Encarregado de Educação: Domingos Pedro de Almeida, Telefone 947 128 535</t>
  </si>
  <si>
    <r>
      <t xml:space="preserve">Ano Lectivo 2019             Ensino: Primário       </t>
    </r>
    <r>
      <rPr>
        <sz val="14"/>
        <color rgb="FFFF0000"/>
        <rFont val="Times New Roman"/>
        <family val="1"/>
      </rPr>
      <t xml:space="preserve"> 2</t>
    </r>
    <r>
      <rPr>
        <sz val="14"/>
        <color rgb="FFFF0000"/>
        <rFont val="Calibri"/>
        <family val="2"/>
      </rPr>
      <t>ª</t>
    </r>
    <r>
      <rPr>
        <sz val="14"/>
        <color rgb="FFFF0000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Classe,      Nº 52,    Turma MA,      Turno: Manhã</t>
    </r>
  </si>
  <si>
    <t>Viana, 02 de Dezembro de 2019</t>
  </si>
  <si>
    <t xml:space="preserve">      Com a média (   )</t>
  </si>
  <si>
    <t xml:space="preserve">Madalena Gonga </t>
  </si>
  <si>
    <t>Psicologia</t>
  </si>
  <si>
    <t>Filosofia</t>
  </si>
  <si>
    <t xml:space="preserve">Matemática </t>
  </si>
  <si>
    <t xml:space="preserve">Informática </t>
  </si>
  <si>
    <t>Introd. Direito</t>
  </si>
  <si>
    <t>Introd. Economia</t>
  </si>
  <si>
    <t xml:space="preserve">História </t>
  </si>
  <si>
    <t xml:space="preserve">Geografia </t>
  </si>
  <si>
    <t xml:space="preserve">Des. Econ e Social </t>
  </si>
  <si>
    <r>
      <t xml:space="preserve">a) Transita ( </t>
    </r>
    <r>
      <rPr>
        <b/>
        <i/>
        <sz val="12"/>
        <color rgb="FF0070C0"/>
        <rFont val="Times New Roman"/>
        <family val="1"/>
      </rPr>
      <t>Azul</t>
    </r>
    <r>
      <rPr>
        <sz val="12"/>
        <color theme="1"/>
        <rFont val="Times New Roman"/>
        <family val="1"/>
      </rPr>
      <t xml:space="preserve">) e Não Transita ( </t>
    </r>
    <r>
      <rPr>
        <b/>
        <i/>
        <sz val="12"/>
        <color rgb="FFFF0000"/>
        <rFont val="Times New Roman"/>
        <family val="1"/>
      </rPr>
      <t>Vermelho</t>
    </r>
    <r>
      <rPr>
        <sz val="12"/>
        <color theme="1"/>
        <rFont val="Times New Roman"/>
        <family val="1"/>
      </rPr>
      <t>)</t>
    </r>
  </si>
  <si>
    <t>Nome do Encarregado de Educação_____________________________________ Telefone________________________/________________________</t>
  </si>
  <si>
    <r>
      <rPr>
        <b/>
        <sz val="14"/>
        <color theme="1"/>
        <rFont val="Times New Roman"/>
        <family val="1"/>
      </rPr>
      <t>OBS:</t>
    </r>
    <r>
      <rPr>
        <sz val="14"/>
        <color theme="1"/>
        <rFont val="Times New Roman"/>
        <family val="1"/>
      </rPr>
      <t>__________________________________________</t>
    </r>
  </si>
  <si>
    <t>Nome do aluno_____________________________________________________________________________________________________________</t>
  </si>
  <si>
    <t>Natural  de: ____________________ Província de: _____________________________________________ Município de _______________________</t>
  </si>
  <si>
    <t>Filho (a) de: _________________________________________ e de __________________________________________________________________</t>
  </si>
  <si>
    <t>Na Comuna de _______________________________________ Nascido (a) aos, ______ de _____________________ de _______________________</t>
  </si>
  <si>
    <t>Ano Lectivo_____________             Iº Ciclo      _________ Classe _________      Nº ___________ Turma ____________ Turno____________________</t>
  </si>
  <si>
    <t xml:space="preserve">L. Portuguesa </t>
  </si>
  <si>
    <t>C. Natureza</t>
  </si>
  <si>
    <t>E.M.C</t>
  </si>
  <si>
    <t>E.M.P</t>
  </si>
  <si>
    <t xml:space="preserve">Ed. Musical </t>
  </si>
  <si>
    <t>Filho ( a ) :______________________________________________________  e de ______________________________________________________________________________________________</t>
  </si>
  <si>
    <t>Natural de ____________________________________________________________ Província de _____________________________ Município de __________________________</t>
  </si>
  <si>
    <t>ESCOLA:___________________________________________________________________</t>
  </si>
  <si>
    <r>
      <t xml:space="preserve">a) Transita ( </t>
    </r>
    <r>
      <rPr>
        <b/>
        <i/>
        <sz val="12"/>
        <color rgb="FF002060"/>
        <rFont val="Times New Roman"/>
        <family val="1"/>
      </rPr>
      <t>Azul</t>
    </r>
    <r>
      <rPr>
        <sz val="12"/>
        <color theme="1"/>
        <rFont val="Times New Roman"/>
        <family val="1"/>
      </rPr>
      <t xml:space="preserve">) e Não Transita ( </t>
    </r>
    <r>
      <rPr>
        <b/>
        <i/>
        <sz val="12"/>
        <color rgb="FFFF0000"/>
        <rFont val="Times New Roman"/>
        <family val="1"/>
      </rPr>
      <t>Vermelho</t>
    </r>
    <r>
      <rPr>
        <sz val="12"/>
        <color theme="1"/>
        <rFont val="Times New Roman"/>
        <family val="1"/>
      </rPr>
      <t>)</t>
    </r>
  </si>
  <si>
    <r>
      <rPr>
        <b/>
        <sz val="12"/>
        <color theme="1"/>
        <rFont val="Times New Roman"/>
        <family val="1"/>
      </rPr>
      <t>OBS:</t>
    </r>
    <r>
      <rPr>
        <sz val="12"/>
        <color theme="1"/>
        <rFont val="Times New Roman"/>
        <family val="1"/>
      </rPr>
      <t>__________________________________________</t>
    </r>
  </si>
  <si>
    <t>Exame Nº _____</t>
  </si>
  <si>
    <t>Língua Portuesa</t>
  </si>
  <si>
    <r>
      <t xml:space="preserve">Nome do aluno (a): </t>
    </r>
    <r>
      <rPr>
        <b/>
        <sz val="14"/>
        <color rgb="FFFF0000"/>
        <rFont val="Times New Roman"/>
        <family val="1"/>
      </rPr>
      <t xml:space="preserve">Márcia da Graça Ferreira Mendes </t>
    </r>
    <r>
      <rPr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Times New Roman"/>
        <family val="1"/>
      </rPr>
      <t xml:space="preserve"> </t>
    </r>
  </si>
  <si>
    <t>Natural  de: Malanje , Província de Malanje, Município de Malanje</t>
  </si>
  <si>
    <t>Na Comuna de ==================== Nascido (a) aos, 02 de Dezembro de 1985</t>
  </si>
  <si>
    <t>Nome do Encarregado de Educação: _____________________________, Telefone: __________________________</t>
  </si>
  <si>
    <r>
      <t xml:space="preserve">Ano Lectivo 1996             Ensino: Primário       </t>
    </r>
    <r>
      <rPr>
        <sz val="14"/>
        <color rgb="FFFF0000"/>
        <rFont val="Times New Roman"/>
        <family val="1"/>
      </rPr>
      <t xml:space="preserve"> 4</t>
    </r>
    <r>
      <rPr>
        <sz val="14"/>
        <color rgb="FFFF0000"/>
        <rFont val="Calibri"/>
        <family val="2"/>
      </rPr>
      <t>ª</t>
    </r>
    <r>
      <rPr>
        <sz val="14"/>
        <color rgb="FFFF0000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Classe,      Nº 19,    Turma: MA,      Turno: Manhã</t>
    </r>
  </si>
  <si>
    <r>
      <t xml:space="preserve">OBS: </t>
    </r>
    <r>
      <rPr>
        <b/>
        <sz val="14"/>
        <color rgb="FF0070C0"/>
        <rFont val="Times New Roman"/>
        <family val="1"/>
      </rPr>
      <t>APTO</t>
    </r>
  </si>
  <si>
    <r>
      <t xml:space="preserve">      Com a média (</t>
    </r>
    <r>
      <rPr>
        <sz val="14"/>
        <color rgb="FF0070C0"/>
        <rFont val="Times New Roman"/>
        <family val="1"/>
      </rPr>
      <t>12</t>
    </r>
    <r>
      <rPr>
        <sz val="14"/>
        <color theme="1"/>
        <rFont val="Times New Roman"/>
        <family val="1"/>
      </rPr>
      <t>)</t>
    </r>
  </si>
  <si>
    <t>Viana, 30 de Setembro de 2022</t>
  </si>
  <si>
    <t xml:space="preserve">Filho (a) de: Serafim Carlos Mendes e de Maria Noémia Augusto Ferreia Mendes </t>
  </si>
</sst>
</file>

<file path=xl/styles.xml><?xml version="1.0" encoding="utf-8"?>
<styleSheet xmlns="http://schemas.openxmlformats.org/spreadsheetml/2006/main"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rgb="FFFF0000"/>
      <name val="Times New Roman"/>
      <family val="1"/>
    </font>
    <font>
      <b/>
      <i/>
      <sz val="14"/>
      <color rgb="FF0070C0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i/>
      <sz val="16"/>
      <color rgb="FF002060"/>
      <name val="Times New Roman"/>
      <family val="1"/>
    </font>
    <font>
      <b/>
      <i/>
      <sz val="16"/>
      <color rgb="FFFF0000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Calibri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2" fillId="0" borderId="12" xfId="0" applyFont="1" applyBorder="1"/>
    <xf numFmtId="0" fontId="3" fillId="0" borderId="1" xfId="0" applyFont="1" applyBorder="1"/>
    <xf numFmtId="0" fontId="1" fillId="0" borderId="0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3" fillId="0" borderId="5" xfId="0" applyFont="1" applyBorder="1"/>
    <xf numFmtId="0" fontId="3" fillId="0" borderId="21" xfId="0" applyFont="1" applyBorder="1"/>
    <xf numFmtId="0" fontId="0" fillId="0" borderId="0" xfId="0"/>
    <xf numFmtId="0" fontId="4" fillId="0" borderId="12" xfId="0" applyFont="1" applyBorder="1" applyAlignment="1">
      <alignment horizontal="center"/>
    </xf>
    <xf numFmtId="0" fontId="0" fillId="0" borderId="14" xfId="0" applyBorder="1"/>
    <xf numFmtId="0" fontId="4" fillId="0" borderId="17" xfId="0" applyFont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/>
    <xf numFmtId="0" fontId="0" fillId="0" borderId="0" xfId="0" applyBorder="1"/>
    <xf numFmtId="0" fontId="7" fillId="0" borderId="0" xfId="0" applyFont="1"/>
    <xf numFmtId="0" fontId="8" fillId="0" borderId="0" xfId="0" applyFont="1"/>
    <xf numFmtId="0" fontId="9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5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/>
    <xf numFmtId="0" fontId="0" fillId="0" borderId="25" xfId="0" applyBorder="1"/>
    <xf numFmtId="0" fontId="2" fillId="0" borderId="1" xfId="0" applyFont="1" applyBorder="1"/>
    <xf numFmtId="0" fontId="2" fillId="0" borderId="21" xfId="0" applyFont="1" applyBorder="1"/>
    <xf numFmtId="0" fontId="2" fillId="0" borderId="5" xfId="0" applyFont="1" applyBorder="1"/>
    <xf numFmtId="0" fontId="15" fillId="0" borderId="1" xfId="0" applyFont="1" applyBorder="1"/>
    <xf numFmtId="0" fontId="15" fillId="0" borderId="21" xfId="0" applyFont="1" applyBorder="1"/>
    <xf numFmtId="0" fontId="15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/>
    <xf numFmtId="0" fontId="0" fillId="0" borderId="0" xfId="0" applyBorder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3" xfId="0" applyFont="1" applyBorder="1"/>
    <xf numFmtId="0" fontId="4" fillId="0" borderId="0" xfId="0" applyFont="1" applyBorder="1" applyAlignment="1">
      <alignment horizontal="center"/>
    </xf>
    <xf numFmtId="0" fontId="0" fillId="0" borderId="0" xfId="0"/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6" fillId="0" borderId="0" xfId="0" applyFont="1" applyBorder="1" applyAlignment="1">
      <alignment vertical="center"/>
    </xf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0" borderId="15" xfId="0" applyFont="1" applyBorder="1" applyAlignment="1">
      <alignment horizontal="center" vertical="center" textRotation="90" wrapText="1"/>
    </xf>
    <xf numFmtId="0" fontId="16" fillId="0" borderId="16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/>
    </xf>
    <xf numFmtId="0" fontId="16" fillId="0" borderId="26" xfId="0" applyFont="1" applyBorder="1" applyAlignment="1">
      <alignment horizontal="center" vertical="center" textRotation="90" wrapText="1"/>
    </xf>
    <xf numFmtId="0" fontId="16" fillId="0" borderId="27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7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Border="1"/>
  </cellXfs>
  <cellStyles count="1">
    <cellStyle name="Normal" xfId="0" builtinId="0"/>
  </cellStyles>
  <dxfs count="10"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278130</xdr:colOff>
      <xdr:row>0</xdr:row>
      <xdr:rowOff>53340</xdr:rowOff>
    </xdr:from>
    <xdr:to>
      <xdr:col>10</xdr:col>
      <xdr:colOff>255270</xdr:colOff>
      <xdr:row>1</xdr:row>
      <xdr:rowOff>213360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54805" y="53340"/>
          <a:ext cx="720090" cy="398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</xdr:colOff>
      <xdr:row>0</xdr:row>
      <xdr:rowOff>62865</xdr:rowOff>
    </xdr:from>
    <xdr:to>
      <xdr:col>10</xdr:col>
      <xdr:colOff>36195</xdr:colOff>
      <xdr:row>1</xdr:row>
      <xdr:rowOff>222885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30980" y="62865"/>
          <a:ext cx="720090" cy="398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</xdr:colOff>
      <xdr:row>0</xdr:row>
      <xdr:rowOff>62865</xdr:rowOff>
    </xdr:from>
    <xdr:to>
      <xdr:col>10</xdr:col>
      <xdr:colOff>36195</xdr:colOff>
      <xdr:row>1</xdr:row>
      <xdr:rowOff>222885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30980" y="62865"/>
          <a:ext cx="720090" cy="398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249555</xdr:colOff>
      <xdr:row>0</xdr:row>
      <xdr:rowOff>72390</xdr:rowOff>
    </xdr:from>
    <xdr:to>
      <xdr:col>10</xdr:col>
      <xdr:colOff>226695</xdr:colOff>
      <xdr:row>1</xdr:row>
      <xdr:rowOff>232410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21480" y="72390"/>
          <a:ext cx="720090" cy="398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249555</xdr:colOff>
      <xdr:row>0</xdr:row>
      <xdr:rowOff>72390</xdr:rowOff>
    </xdr:from>
    <xdr:to>
      <xdr:col>10</xdr:col>
      <xdr:colOff>226695</xdr:colOff>
      <xdr:row>1</xdr:row>
      <xdr:rowOff>232410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21480" y="72390"/>
          <a:ext cx="720090" cy="398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392430</xdr:colOff>
      <xdr:row>0</xdr:row>
      <xdr:rowOff>43815</xdr:rowOff>
    </xdr:from>
    <xdr:to>
      <xdr:col>9</xdr:col>
      <xdr:colOff>257175</xdr:colOff>
      <xdr:row>1</xdr:row>
      <xdr:rowOff>203835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97680" y="43815"/>
          <a:ext cx="664845" cy="398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56030</xdr:colOff>
      <xdr:row>2</xdr:row>
      <xdr:rowOff>56028</xdr:rowOff>
    </xdr:from>
    <xdr:to>
      <xdr:col>19</xdr:col>
      <xdr:colOff>638734</xdr:colOff>
      <xdr:row>6</xdr:row>
      <xdr:rowOff>235323</xdr:rowOff>
    </xdr:to>
    <xdr:sp macro="" textlink="">
      <xdr:nvSpPr>
        <xdr:cNvPr id="3" name="Rectângulo 2"/>
        <xdr:cNvSpPr/>
      </xdr:nvSpPr>
      <xdr:spPr>
        <a:xfrm>
          <a:off x="9569824" y="526675"/>
          <a:ext cx="1255057" cy="112058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399702</xdr:colOff>
      <xdr:row>0</xdr:row>
      <xdr:rowOff>0</xdr:rowOff>
    </xdr:from>
    <xdr:to>
      <xdr:col>10</xdr:col>
      <xdr:colOff>300642</xdr:colOff>
      <xdr:row>1</xdr:row>
      <xdr:rowOff>160020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5566" y="0"/>
          <a:ext cx="714894" cy="40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929640</xdr:colOff>
      <xdr:row>0</xdr:row>
      <xdr:rowOff>0</xdr:rowOff>
    </xdr:from>
    <xdr:to>
      <xdr:col>6</xdr:col>
      <xdr:colOff>160020</xdr:colOff>
      <xdr:row>0</xdr:row>
      <xdr:rowOff>236220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48400" y="0"/>
          <a:ext cx="647700" cy="2362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>
      <selection activeCell="A12" sqref="A12:R12"/>
    </sheetView>
  </sheetViews>
  <sheetFormatPr defaultColWidth="8.75" defaultRowHeight="15.75"/>
  <cols>
    <col min="1" max="1" width="15.75" customWidth="1"/>
    <col min="2" max="2" width="5.625" customWidth="1"/>
    <col min="3" max="3" width="4.875" customWidth="1"/>
    <col min="4" max="4" width="4" customWidth="1"/>
    <col min="5" max="5" width="5.75" customWidth="1"/>
    <col min="6" max="6" width="4.75" customWidth="1"/>
    <col min="7" max="7" width="4.375" customWidth="1"/>
    <col min="8" max="8" width="5.75" customWidth="1"/>
    <col min="9" max="9" width="5" customWidth="1"/>
    <col min="10" max="10" width="4.75" customWidth="1"/>
    <col min="11" max="11" width="4" customWidth="1"/>
    <col min="12" max="12" width="5.125" customWidth="1"/>
    <col min="13" max="13" width="3.75" customWidth="1"/>
    <col min="14" max="14" width="3.125" style="1" customWidth="1"/>
    <col min="15" max="15" width="12.375" style="1" customWidth="1"/>
    <col min="16" max="16384" width="8.75" style="1"/>
  </cols>
  <sheetData>
    <row r="1" spans="1:20" customFormat="1" ht="18.75">
      <c r="A1" s="3"/>
      <c r="B1" s="3"/>
      <c r="C1" s="3"/>
      <c r="D1" s="3"/>
      <c r="E1" s="3"/>
      <c r="F1" s="3"/>
      <c r="G1" s="3"/>
      <c r="H1" s="3"/>
      <c r="I1" s="3"/>
      <c r="J1" s="3"/>
    </row>
    <row r="2" spans="1:20" customFormat="1" ht="19.5" thickBot="1">
      <c r="A2" s="3"/>
      <c r="B2" s="3"/>
      <c r="C2" s="3"/>
      <c r="D2" s="3"/>
      <c r="E2" s="3"/>
      <c r="F2" s="3"/>
      <c r="G2" s="3"/>
      <c r="H2" s="3"/>
      <c r="I2" s="3"/>
      <c r="J2" s="5"/>
      <c r="K2" s="10"/>
      <c r="L2" s="10"/>
      <c r="M2" s="6"/>
    </row>
    <row r="3" spans="1:20" customFormat="1" ht="18.7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8"/>
      <c r="S3" s="69" t="s">
        <v>32</v>
      </c>
      <c r="T3" s="70"/>
    </row>
    <row r="4" spans="1:20" customFormat="1" ht="18.7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  <c r="S4" s="71"/>
      <c r="T4" s="72"/>
    </row>
    <row r="5" spans="1:20" customFormat="1" ht="18.75">
      <c r="A5" s="67" t="s">
        <v>2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  <c r="S5" s="71"/>
      <c r="T5" s="72"/>
    </row>
    <row r="6" spans="1:20" customFormat="1" ht="18.75">
      <c r="A6" s="82" t="s">
        <v>61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68"/>
      <c r="S6" s="71"/>
      <c r="T6" s="72"/>
    </row>
    <row r="7" spans="1:20" customFormat="1" ht="19.5" thickBo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8"/>
      <c r="S7" s="73"/>
      <c r="T7" s="74"/>
    </row>
    <row r="8" spans="1:20" customFormat="1" ht="18.75">
      <c r="A8" s="67" t="s">
        <v>3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37"/>
    </row>
    <row r="9" spans="1:20" customFormat="1" ht="18.75">
      <c r="A9" s="65" t="s">
        <v>80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</row>
    <row r="10" spans="1:20" customFormat="1" ht="18.75">
      <c r="A10" s="65" t="s">
        <v>62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20" customFormat="1" ht="18.75">
      <c r="A11" s="65" t="s">
        <v>63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</row>
    <row r="12" spans="1:20" customFormat="1" ht="18.75">
      <c r="A12" s="65" t="s">
        <v>64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20" customFormat="1" ht="18.75">
      <c r="A13" s="65" t="s">
        <v>65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20" customFormat="1" ht="18.75">
      <c r="A14" s="65" t="s">
        <v>79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spans="1:20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11"/>
      <c r="P15" s="11"/>
      <c r="Q15" s="11"/>
      <c r="R15" s="11"/>
    </row>
    <row r="16" spans="1:20" ht="18.75">
      <c r="A16" s="75" t="s">
        <v>4</v>
      </c>
      <c r="B16" s="77" t="s">
        <v>5</v>
      </c>
      <c r="C16" s="77"/>
      <c r="D16" s="78"/>
      <c r="E16" s="79" t="s">
        <v>35</v>
      </c>
      <c r="F16" s="77"/>
      <c r="G16" s="78"/>
      <c r="H16" s="79" t="s">
        <v>36</v>
      </c>
      <c r="I16" s="77"/>
      <c r="J16" s="78"/>
      <c r="K16" s="83" t="s">
        <v>9</v>
      </c>
      <c r="L16" s="80" t="s">
        <v>10</v>
      </c>
      <c r="M16" s="80" t="s">
        <v>11</v>
      </c>
      <c r="O16" s="65" t="s">
        <v>27</v>
      </c>
      <c r="P16" s="65"/>
      <c r="Q16" s="65"/>
      <c r="R16" s="65"/>
      <c r="S16" s="65"/>
      <c r="T16" s="65"/>
    </row>
    <row r="17" spans="1:20" ht="18.75">
      <c r="A17" s="76"/>
      <c r="B17" s="38" t="s">
        <v>6</v>
      </c>
      <c r="C17" s="38" t="s">
        <v>7</v>
      </c>
      <c r="D17" s="39" t="s">
        <v>8</v>
      </c>
      <c r="E17" s="40" t="s">
        <v>6</v>
      </c>
      <c r="F17" s="38" t="s">
        <v>7</v>
      </c>
      <c r="G17" s="39" t="s">
        <v>8</v>
      </c>
      <c r="H17" s="40" t="s">
        <v>6</v>
      </c>
      <c r="I17" s="38" t="s">
        <v>7</v>
      </c>
      <c r="J17" s="39" t="s">
        <v>8</v>
      </c>
      <c r="K17" s="84"/>
      <c r="L17" s="81"/>
      <c r="M17" s="81"/>
      <c r="O17" s="66" t="s">
        <v>24</v>
      </c>
      <c r="P17" s="66"/>
      <c r="Q17" s="66"/>
      <c r="R17" s="66"/>
      <c r="S17" s="66"/>
      <c r="T17" s="66"/>
    </row>
    <row r="18" spans="1:20" ht="18.75">
      <c r="A18" s="9" t="s">
        <v>67</v>
      </c>
      <c r="B18" s="44">
        <v>4</v>
      </c>
      <c r="C18" s="44">
        <v>6</v>
      </c>
      <c r="D18" s="45">
        <f>(B18+C18)/2</f>
        <v>5</v>
      </c>
      <c r="E18" s="23">
        <v>4</v>
      </c>
      <c r="F18" s="44">
        <v>8</v>
      </c>
      <c r="G18" s="45">
        <f>(E18+F18)/2</f>
        <v>6</v>
      </c>
      <c r="H18" s="23">
        <v>7</v>
      </c>
      <c r="I18" s="44">
        <v>7</v>
      </c>
      <c r="J18" s="45">
        <f>(I18+H18)/2</f>
        <v>7</v>
      </c>
      <c r="K18" s="23">
        <f>(D18+G18+J18)/3</f>
        <v>6</v>
      </c>
      <c r="L18" s="44">
        <v>7</v>
      </c>
      <c r="M18" s="44">
        <f>(K18+L18)/2</f>
        <v>6.5</v>
      </c>
      <c r="O18" s="66" t="s">
        <v>24</v>
      </c>
      <c r="P18" s="66"/>
      <c r="Q18" s="66"/>
      <c r="R18" s="66"/>
      <c r="S18" s="66"/>
      <c r="T18" s="66"/>
    </row>
    <row r="19" spans="1:20" ht="18.75">
      <c r="A19" s="9" t="s">
        <v>68</v>
      </c>
      <c r="B19" s="44">
        <v>6</v>
      </c>
      <c r="C19" s="44">
        <v>5</v>
      </c>
      <c r="D19" s="45">
        <f t="shared" ref="D19:D24" si="0">(B19+C19)/2</f>
        <v>5.5</v>
      </c>
      <c r="E19" s="23">
        <v>6</v>
      </c>
      <c r="F19" s="44">
        <v>6</v>
      </c>
      <c r="G19" s="45">
        <f t="shared" ref="G19:G24" si="1">(E19+F19)/2</f>
        <v>6</v>
      </c>
      <c r="H19" s="23">
        <v>5</v>
      </c>
      <c r="I19" s="44">
        <v>5</v>
      </c>
      <c r="J19" s="45">
        <f t="shared" ref="J19:J24" si="2">(I19+H19)/2</f>
        <v>5</v>
      </c>
      <c r="K19" s="23">
        <f t="shared" ref="K19:K24" si="3">(D19+G19+J19)/3</f>
        <v>5.5</v>
      </c>
      <c r="L19" s="44">
        <v>6</v>
      </c>
      <c r="M19" s="44">
        <f t="shared" ref="M19:M24" si="4">(K19+L19)/2</f>
        <v>5.75</v>
      </c>
      <c r="O19" s="66" t="s">
        <v>75</v>
      </c>
      <c r="P19" s="66"/>
      <c r="Q19" s="20" t="s">
        <v>25</v>
      </c>
      <c r="R19" s="4"/>
      <c r="S19" s="4"/>
      <c r="T19" s="4"/>
    </row>
    <row r="20" spans="1:20" ht="18.75">
      <c r="A20" s="9" t="s">
        <v>66</v>
      </c>
      <c r="B20" s="44">
        <v>6</v>
      </c>
      <c r="C20" s="44">
        <v>6</v>
      </c>
      <c r="D20" s="45">
        <f t="shared" si="0"/>
        <v>6</v>
      </c>
      <c r="E20" s="23">
        <v>5</v>
      </c>
      <c r="F20" s="44">
        <v>5</v>
      </c>
      <c r="G20" s="45">
        <f t="shared" si="1"/>
        <v>5</v>
      </c>
      <c r="H20" s="23">
        <v>7</v>
      </c>
      <c r="I20" s="44">
        <v>3</v>
      </c>
      <c r="J20" s="45">
        <f t="shared" si="2"/>
        <v>5</v>
      </c>
      <c r="K20" s="23">
        <f t="shared" si="3"/>
        <v>5.333333333333333</v>
      </c>
      <c r="L20" s="44">
        <v>7</v>
      </c>
      <c r="M20" s="44">
        <f t="shared" si="4"/>
        <v>6.1666666666666661</v>
      </c>
      <c r="O20" s="66" t="s">
        <v>74</v>
      </c>
      <c r="P20" s="66"/>
      <c r="Q20" s="66"/>
      <c r="R20" s="66"/>
      <c r="S20" s="18"/>
      <c r="T20" s="18"/>
    </row>
    <row r="21" spans="1:20" ht="18.75">
      <c r="A21" s="9" t="s">
        <v>69</v>
      </c>
      <c r="B21" s="44">
        <v>5</v>
      </c>
      <c r="C21" s="44">
        <v>5</v>
      </c>
      <c r="D21" s="45">
        <f t="shared" si="0"/>
        <v>5</v>
      </c>
      <c r="E21" s="23">
        <v>6</v>
      </c>
      <c r="F21" s="44">
        <v>4</v>
      </c>
      <c r="G21" s="45">
        <f t="shared" si="1"/>
        <v>5</v>
      </c>
      <c r="H21" s="23">
        <v>5</v>
      </c>
      <c r="I21" s="44">
        <v>5</v>
      </c>
      <c r="J21" s="45">
        <f t="shared" si="2"/>
        <v>5</v>
      </c>
      <c r="K21" s="23">
        <f t="shared" si="3"/>
        <v>5</v>
      </c>
      <c r="L21" s="44">
        <v>7</v>
      </c>
      <c r="M21" s="44">
        <f t="shared" si="4"/>
        <v>6</v>
      </c>
      <c r="O21" s="4"/>
      <c r="P21" s="4"/>
      <c r="Q21" s="4"/>
      <c r="R21" s="4"/>
      <c r="S21" s="4"/>
      <c r="T21" s="4"/>
    </row>
    <row r="22" spans="1:20" ht="18.75">
      <c r="A22" s="9" t="s">
        <v>70</v>
      </c>
      <c r="B22" s="44">
        <v>7</v>
      </c>
      <c r="C22" s="44">
        <v>3</v>
      </c>
      <c r="D22" s="45">
        <f t="shared" si="0"/>
        <v>5</v>
      </c>
      <c r="E22" s="23">
        <v>7</v>
      </c>
      <c r="F22" s="44">
        <v>7</v>
      </c>
      <c r="G22" s="45">
        <f t="shared" si="1"/>
        <v>7</v>
      </c>
      <c r="H22" s="23">
        <v>5</v>
      </c>
      <c r="I22" s="44">
        <v>7</v>
      </c>
      <c r="J22" s="45">
        <f t="shared" si="2"/>
        <v>6</v>
      </c>
      <c r="K22" s="23">
        <f t="shared" si="3"/>
        <v>6</v>
      </c>
      <c r="L22" s="44">
        <v>5</v>
      </c>
      <c r="M22" s="44">
        <f t="shared" si="4"/>
        <v>5.5</v>
      </c>
      <c r="O22" s="82" t="s">
        <v>76</v>
      </c>
      <c r="P22" s="82"/>
      <c r="Q22" s="82"/>
      <c r="R22" s="82"/>
      <c r="S22" s="82"/>
      <c r="T22" s="82"/>
    </row>
    <row r="23" spans="1:20" ht="18.75">
      <c r="A23" s="9" t="s">
        <v>71</v>
      </c>
      <c r="B23" s="44">
        <v>6</v>
      </c>
      <c r="C23" s="44">
        <v>6</v>
      </c>
      <c r="D23" s="45">
        <f t="shared" si="0"/>
        <v>6</v>
      </c>
      <c r="E23" s="23">
        <v>5</v>
      </c>
      <c r="F23" s="44">
        <v>5</v>
      </c>
      <c r="G23" s="45">
        <f t="shared" si="1"/>
        <v>5</v>
      </c>
      <c r="H23" s="23">
        <v>5</v>
      </c>
      <c r="I23" s="44">
        <v>5</v>
      </c>
      <c r="J23" s="45">
        <f t="shared" si="2"/>
        <v>5</v>
      </c>
      <c r="K23" s="23">
        <f t="shared" si="3"/>
        <v>5.333333333333333</v>
      </c>
      <c r="L23" s="44">
        <v>5</v>
      </c>
      <c r="M23" s="44">
        <f t="shared" si="4"/>
        <v>5.1666666666666661</v>
      </c>
      <c r="O23" s="66" t="s">
        <v>31</v>
      </c>
      <c r="P23" s="66"/>
      <c r="Q23" s="66"/>
      <c r="R23" s="66"/>
      <c r="S23" s="66"/>
      <c r="T23" s="66"/>
    </row>
    <row r="24" spans="1:20" ht="18.75">
      <c r="A24" s="9" t="s">
        <v>72</v>
      </c>
      <c r="B24" s="44">
        <v>7</v>
      </c>
      <c r="C24" s="44">
        <v>7</v>
      </c>
      <c r="D24" s="45">
        <f t="shared" si="0"/>
        <v>7</v>
      </c>
      <c r="E24" s="23">
        <v>6</v>
      </c>
      <c r="F24" s="44">
        <v>6</v>
      </c>
      <c r="G24" s="45">
        <f t="shared" si="1"/>
        <v>6</v>
      </c>
      <c r="H24" s="23">
        <v>7</v>
      </c>
      <c r="I24" s="44">
        <v>7</v>
      </c>
      <c r="J24" s="45">
        <f t="shared" si="2"/>
        <v>7</v>
      </c>
      <c r="K24" s="23">
        <f t="shared" si="3"/>
        <v>6.666666666666667</v>
      </c>
      <c r="L24" s="44">
        <v>6</v>
      </c>
      <c r="M24" s="44">
        <f t="shared" si="4"/>
        <v>6.3333333333333339</v>
      </c>
      <c r="O24" s="66" t="s">
        <v>31</v>
      </c>
      <c r="P24" s="66"/>
      <c r="Q24" s="66"/>
      <c r="R24" s="66"/>
      <c r="S24" s="66"/>
      <c r="T24" s="66"/>
    </row>
    <row r="25" spans="1:20" ht="18.75">
      <c r="O25" s="65"/>
      <c r="P25" s="65"/>
      <c r="Q25" s="65"/>
      <c r="R25" s="65"/>
      <c r="S25" s="65"/>
      <c r="T25" s="65"/>
    </row>
    <row r="26" spans="1:20" ht="19.5">
      <c r="O26" s="65" t="s">
        <v>34</v>
      </c>
      <c r="P26" s="65"/>
      <c r="Q26" s="65"/>
      <c r="R26" s="65"/>
      <c r="S26" s="65"/>
      <c r="T26" s="65"/>
    </row>
  </sheetData>
  <mergeCells count="30">
    <mergeCell ref="O25:T25"/>
    <mergeCell ref="O26:T26"/>
    <mergeCell ref="O20:R20"/>
    <mergeCell ref="A6:R6"/>
    <mergeCell ref="O22:T22"/>
    <mergeCell ref="O23:T23"/>
    <mergeCell ref="O24:T24"/>
    <mergeCell ref="K16:K17"/>
    <mergeCell ref="L16:L17"/>
    <mergeCell ref="A9:T9"/>
    <mergeCell ref="A10:R10"/>
    <mergeCell ref="A11:R11"/>
    <mergeCell ref="A12:R12"/>
    <mergeCell ref="A13:R13"/>
    <mergeCell ref="A14:R14"/>
    <mergeCell ref="A8:R8"/>
    <mergeCell ref="O16:T16"/>
    <mergeCell ref="O17:T17"/>
    <mergeCell ref="O18:T18"/>
    <mergeCell ref="O19:P19"/>
    <mergeCell ref="A3:R3"/>
    <mergeCell ref="A4:R4"/>
    <mergeCell ref="A5:R5"/>
    <mergeCell ref="A7:R7"/>
    <mergeCell ref="S3:T7"/>
    <mergeCell ref="A16:A17"/>
    <mergeCell ref="B16:D16"/>
    <mergeCell ref="E16:G16"/>
    <mergeCell ref="H16:J16"/>
    <mergeCell ref="M16:M17"/>
  </mergeCells>
  <conditionalFormatting sqref="B18:M24">
    <cfRule type="cellIs" dxfId="9" priority="2" operator="greaterThanOrEqual">
      <formula>5</formula>
    </cfRule>
    <cfRule type="cellIs" dxfId="8" priority="1" operator="lessThanOrEqual">
      <formula>4</formula>
    </cfRule>
  </conditionalFormatting>
  <pageMargins left="0.71" right="0.7" top="0.75" bottom="0.75" header="0.3" footer="0.3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6"/>
  <sheetViews>
    <sheetView workbookViewId="0">
      <selection activeCell="A7" sqref="A7:R7"/>
    </sheetView>
  </sheetViews>
  <sheetFormatPr defaultColWidth="8.75" defaultRowHeight="15.75"/>
  <cols>
    <col min="1" max="1" width="15.75" style="24" customWidth="1"/>
    <col min="2" max="2" width="5.625" style="24" customWidth="1"/>
    <col min="3" max="3" width="4.875" style="24" customWidth="1"/>
    <col min="4" max="4" width="5.25" style="24" customWidth="1"/>
    <col min="5" max="5" width="5.75" style="24" customWidth="1"/>
    <col min="6" max="6" width="4.75" style="24" customWidth="1"/>
    <col min="7" max="7" width="4.375" style="24" customWidth="1"/>
    <col min="8" max="8" width="5.75" style="24" customWidth="1"/>
    <col min="9" max="9" width="5" style="24" customWidth="1"/>
    <col min="10" max="10" width="4.75" style="24" customWidth="1"/>
    <col min="11" max="11" width="3.375" style="24" customWidth="1"/>
    <col min="12" max="12" width="4" style="24" customWidth="1"/>
    <col min="13" max="13" width="4.125" style="24" customWidth="1"/>
    <col min="14" max="14" width="3.125" style="1" customWidth="1"/>
    <col min="15" max="15" width="12.375" style="1" customWidth="1"/>
    <col min="16" max="16384" width="8.75" style="1"/>
  </cols>
  <sheetData>
    <row r="1" spans="1:20" s="24" customFormat="1" ht="18.75">
      <c r="A1" s="3"/>
      <c r="B1" s="3"/>
      <c r="C1" s="3"/>
      <c r="D1" s="3"/>
      <c r="E1" s="3"/>
      <c r="F1" s="3"/>
      <c r="G1" s="3"/>
      <c r="H1" s="3"/>
      <c r="I1" s="3"/>
      <c r="J1" s="3"/>
    </row>
    <row r="2" spans="1:20" s="24" customFormat="1" ht="19.5" thickBot="1">
      <c r="A2" s="3"/>
      <c r="B2" s="3"/>
      <c r="C2" s="3"/>
      <c r="D2" s="3"/>
      <c r="E2" s="3"/>
      <c r="F2" s="3"/>
      <c r="G2" s="3"/>
      <c r="H2" s="3"/>
      <c r="I2" s="3"/>
      <c r="J2" s="5"/>
      <c r="K2" s="10"/>
      <c r="L2" s="10"/>
      <c r="M2" s="25"/>
    </row>
    <row r="3" spans="1:20" s="24" customFormat="1" ht="18.7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8"/>
      <c r="S3" s="69" t="s">
        <v>32</v>
      </c>
      <c r="T3" s="70"/>
    </row>
    <row r="4" spans="1:20" s="24" customFormat="1" ht="18.7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  <c r="S4" s="71"/>
      <c r="T4" s="72"/>
    </row>
    <row r="5" spans="1:20" s="24" customFormat="1" ht="18.75">
      <c r="A5" s="67" t="s">
        <v>2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  <c r="S5" s="71"/>
      <c r="T5" s="72"/>
    </row>
    <row r="6" spans="1:20" s="24" customFormat="1" ht="18.75">
      <c r="A6" s="82" t="s">
        <v>61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68"/>
      <c r="S6" s="71"/>
      <c r="T6" s="72"/>
    </row>
    <row r="7" spans="1:20" s="24" customFormat="1" ht="19.5" thickBo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8"/>
      <c r="S7" s="71"/>
      <c r="T7" s="74"/>
    </row>
    <row r="8" spans="1:20" s="24" customFormat="1" ht="18.75">
      <c r="A8" s="67" t="s">
        <v>3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37"/>
    </row>
    <row r="9" spans="1:20" s="24" customFormat="1" ht="21.75" customHeight="1">
      <c r="A9" s="65" t="s">
        <v>80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</row>
    <row r="10" spans="1:20" s="24" customFormat="1" ht="21.75" customHeight="1">
      <c r="A10" s="65" t="s">
        <v>62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20" s="24" customFormat="1" ht="21.75" customHeight="1">
      <c r="A11" s="65" t="s">
        <v>63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</row>
    <row r="12" spans="1:20" s="24" customFormat="1" ht="21.75" customHeight="1">
      <c r="A12" s="65" t="s">
        <v>64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20" s="24" customFormat="1" ht="21.75" customHeight="1">
      <c r="A13" s="65" t="s">
        <v>77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20" s="24" customFormat="1" ht="21.75" customHeight="1">
      <c r="A14" s="65" t="s">
        <v>78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spans="1:20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11"/>
      <c r="P15" s="11"/>
      <c r="Q15" s="11"/>
      <c r="R15" s="11"/>
    </row>
    <row r="16" spans="1:20" ht="18.75">
      <c r="A16" s="75" t="s">
        <v>4</v>
      </c>
      <c r="B16" s="77" t="s">
        <v>5</v>
      </c>
      <c r="C16" s="77"/>
      <c r="D16" s="78"/>
      <c r="E16" s="79" t="s">
        <v>35</v>
      </c>
      <c r="F16" s="77"/>
      <c r="G16" s="78"/>
      <c r="H16" s="79" t="s">
        <v>36</v>
      </c>
      <c r="I16" s="77"/>
      <c r="J16" s="78"/>
      <c r="K16" s="83" t="s">
        <v>9</v>
      </c>
      <c r="L16" s="80" t="s">
        <v>10</v>
      </c>
      <c r="M16" s="80" t="s">
        <v>11</v>
      </c>
      <c r="O16" s="65" t="s">
        <v>27</v>
      </c>
      <c r="P16" s="65"/>
      <c r="Q16" s="65"/>
      <c r="R16" s="65"/>
      <c r="S16" s="65"/>
      <c r="T16" s="65"/>
    </row>
    <row r="17" spans="1:20" ht="18.75">
      <c r="A17" s="76"/>
      <c r="B17" s="41" t="s">
        <v>6</v>
      </c>
      <c r="C17" s="41" t="s">
        <v>7</v>
      </c>
      <c r="D17" s="42" t="s">
        <v>8</v>
      </c>
      <c r="E17" s="43" t="s">
        <v>6</v>
      </c>
      <c r="F17" s="41" t="s">
        <v>7</v>
      </c>
      <c r="G17" s="42" t="s">
        <v>8</v>
      </c>
      <c r="H17" s="43" t="s">
        <v>6</v>
      </c>
      <c r="I17" s="41" t="s">
        <v>7</v>
      </c>
      <c r="J17" s="42" t="s">
        <v>8</v>
      </c>
      <c r="K17" s="84"/>
      <c r="L17" s="81"/>
      <c r="M17" s="81"/>
      <c r="O17" s="66" t="s">
        <v>24</v>
      </c>
      <c r="P17" s="66"/>
      <c r="Q17" s="66"/>
      <c r="R17" s="66"/>
      <c r="S17" s="66"/>
      <c r="T17" s="66"/>
    </row>
    <row r="18" spans="1:20" ht="18.75">
      <c r="A18" s="9" t="s">
        <v>67</v>
      </c>
      <c r="B18" s="44">
        <v>6</v>
      </c>
      <c r="C18" s="44">
        <v>6</v>
      </c>
      <c r="D18" s="45">
        <f>(C18+B18)/2</f>
        <v>6</v>
      </c>
      <c r="E18" s="23">
        <v>4</v>
      </c>
      <c r="F18" s="44">
        <v>6</v>
      </c>
      <c r="G18" s="45">
        <f>(F18+E18)/2</f>
        <v>5</v>
      </c>
      <c r="H18" s="23">
        <v>7</v>
      </c>
      <c r="I18" s="44">
        <v>7</v>
      </c>
      <c r="J18" s="45">
        <f>(I18+H18)/2</f>
        <v>7</v>
      </c>
      <c r="K18" s="23">
        <f>(J18+G18+D18)/3</f>
        <v>6</v>
      </c>
      <c r="L18" s="44">
        <v>7</v>
      </c>
      <c r="M18" s="44">
        <f>(K18+L18)/2</f>
        <v>6.5</v>
      </c>
      <c r="O18" s="66" t="s">
        <v>24</v>
      </c>
      <c r="P18" s="66"/>
      <c r="Q18" s="66"/>
      <c r="R18" s="66"/>
      <c r="S18" s="66"/>
      <c r="T18" s="66"/>
    </row>
    <row r="19" spans="1:20" ht="18.75">
      <c r="A19" s="9" t="s">
        <v>68</v>
      </c>
      <c r="B19" s="44">
        <v>5</v>
      </c>
      <c r="C19" s="44">
        <v>5</v>
      </c>
      <c r="D19" s="45">
        <f t="shared" ref="D19:D24" si="0">(C19+B19)/2</f>
        <v>5</v>
      </c>
      <c r="E19" s="23">
        <v>8</v>
      </c>
      <c r="F19" s="44">
        <v>6</v>
      </c>
      <c r="G19" s="45">
        <f t="shared" ref="G19:G24" si="1">(F19+E19)/2</f>
        <v>7</v>
      </c>
      <c r="H19" s="23">
        <v>5</v>
      </c>
      <c r="I19" s="44">
        <v>5</v>
      </c>
      <c r="J19" s="45">
        <f t="shared" ref="J19:J24" si="2">(I19+H19)/2</f>
        <v>5</v>
      </c>
      <c r="K19" s="23">
        <f t="shared" ref="K19:K24" si="3">(J19+G19+D19)/3</f>
        <v>5.666666666666667</v>
      </c>
      <c r="L19" s="44">
        <v>8</v>
      </c>
      <c r="M19" s="44">
        <f t="shared" ref="M19:M24" si="4">(K19+L19)/2</f>
        <v>6.8333333333333339</v>
      </c>
      <c r="O19" s="66" t="s">
        <v>73</v>
      </c>
      <c r="P19" s="66"/>
      <c r="Q19" s="20" t="s">
        <v>25</v>
      </c>
      <c r="R19" s="20"/>
      <c r="S19" s="20"/>
      <c r="T19" s="20"/>
    </row>
    <row r="20" spans="1:20" ht="18.75">
      <c r="A20" s="9" t="s">
        <v>66</v>
      </c>
      <c r="B20" s="44">
        <v>8</v>
      </c>
      <c r="C20" s="44">
        <v>6</v>
      </c>
      <c r="D20" s="45">
        <f t="shared" si="0"/>
        <v>7</v>
      </c>
      <c r="E20" s="23">
        <v>6</v>
      </c>
      <c r="F20" s="44">
        <v>4</v>
      </c>
      <c r="G20" s="45">
        <f t="shared" si="1"/>
        <v>5</v>
      </c>
      <c r="H20" s="23">
        <v>7</v>
      </c>
      <c r="I20" s="44">
        <v>9</v>
      </c>
      <c r="J20" s="45">
        <f t="shared" si="2"/>
        <v>8</v>
      </c>
      <c r="K20" s="23">
        <f t="shared" si="3"/>
        <v>6.666666666666667</v>
      </c>
      <c r="L20" s="44">
        <v>6</v>
      </c>
      <c r="M20" s="44">
        <f t="shared" si="4"/>
        <v>6.3333333333333339</v>
      </c>
      <c r="O20" s="66" t="s">
        <v>74</v>
      </c>
      <c r="P20" s="66"/>
      <c r="Q20" s="66"/>
      <c r="R20" s="66"/>
      <c r="S20" s="18"/>
      <c r="T20" s="18"/>
    </row>
    <row r="21" spans="1:20" ht="18.75">
      <c r="A21" s="9" t="s">
        <v>69</v>
      </c>
      <c r="B21" s="44">
        <v>8</v>
      </c>
      <c r="C21" s="44">
        <v>8</v>
      </c>
      <c r="D21" s="45">
        <f t="shared" si="0"/>
        <v>8</v>
      </c>
      <c r="E21" s="23">
        <v>8</v>
      </c>
      <c r="F21" s="44">
        <v>8</v>
      </c>
      <c r="G21" s="45">
        <f t="shared" si="1"/>
        <v>8</v>
      </c>
      <c r="H21" s="23">
        <v>8</v>
      </c>
      <c r="I21" s="44">
        <v>8</v>
      </c>
      <c r="J21" s="45">
        <f t="shared" si="2"/>
        <v>8</v>
      </c>
      <c r="K21" s="23">
        <f t="shared" si="3"/>
        <v>8</v>
      </c>
      <c r="L21" s="44">
        <v>7</v>
      </c>
      <c r="M21" s="44">
        <f t="shared" si="4"/>
        <v>7.5</v>
      </c>
      <c r="O21" s="20"/>
      <c r="P21" s="20"/>
      <c r="Q21" s="20"/>
      <c r="R21" s="20"/>
      <c r="S21" s="20"/>
      <c r="T21" s="20"/>
    </row>
    <row r="22" spans="1:20" ht="18.75">
      <c r="A22" s="9" t="s">
        <v>70</v>
      </c>
      <c r="B22" s="44">
        <v>7</v>
      </c>
      <c r="C22" s="44">
        <v>7</v>
      </c>
      <c r="D22" s="45">
        <f t="shared" si="0"/>
        <v>7</v>
      </c>
      <c r="E22" s="23">
        <v>7</v>
      </c>
      <c r="F22" s="44">
        <v>5</v>
      </c>
      <c r="G22" s="45">
        <f t="shared" si="1"/>
        <v>6</v>
      </c>
      <c r="H22" s="23">
        <v>6</v>
      </c>
      <c r="I22" s="44">
        <v>6</v>
      </c>
      <c r="J22" s="45">
        <f t="shared" si="2"/>
        <v>6</v>
      </c>
      <c r="K22" s="23">
        <f t="shared" si="3"/>
        <v>6.333333333333333</v>
      </c>
      <c r="L22" s="44">
        <v>6</v>
      </c>
      <c r="M22" s="44">
        <f t="shared" si="4"/>
        <v>6.1666666666666661</v>
      </c>
      <c r="O22" s="82" t="s">
        <v>29</v>
      </c>
      <c r="P22" s="82"/>
      <c r="Q22" s="82"/>
      <c r="R22" s="82"/>
      <c r="S22" s="82"/>
      <c r="T22" s="82"/>
    </row>
    <row r="23" spans="1:20" ht="18.75">
      <c r="A23" s="9" t="s">
        <v>71</v>
      </c>
      <c r="B23" s="44">
        <v>5</v>
      </c>
      <c r="C23" s="44">
        <v>7</v>
      </c>
      <c r="D23" s="45">
        <f t="shared" si="0"/>
        <v>6</v>
      </c>
      <c r="E23" s="23">
        <v>5</v>
      </c>
      <c r="F23" s="44">
        <v>5</v>
      </c>
      <c r="G23" s="45">
        <f t="shared" si="1"/>
        <v>5</v>
      </c>
      <c r="H23" s="23">
        <v>4</v>
      </c>
      <c r="I23" s="44">
        <v>6</v>
      </c>
      <c r="J23" s="45">
        <f t="shared" si="2"/>
        <v>5</v>
      </c>
      <c r="K23" s="23">
        <f t="shared" si="3"/>
        <v>5.333333333333333</v>
      </c>
      <c r="L23" s="44">
        <v>6</v>
      </c>
      <c r="M23" s="44">
        <f t="shared" si="4"/>
        <v>5.6666666666666661</v>
      </c>
      <c r="O23" s="66" t="s">
        <v>31</v>
      </c>
      <c r="P23" s="66"/>
      <c r="Q23" s="66"/>
      <c r="R23" s="66"/>
      <c r="S23" s="66"/>
      <c r="T23" s="66"/>
    </row>
    <row r="24" spans="1:20" ht="18.75">
      <c r="A24" s="9" t="s">
        <v>72</v>
      </c>
      <c r="B24" s="44">
        <v>8</v>
      </c>
      <c r="C24" s="44">
        <v>4</v>
      </c>
      <c r="D24" s="45">
        <f t="shared" si="0"/>
        <v>6</v>
      </c>
      <c r="E24" s="23">
        <v>9</v>
      </c>
      <c r="F24" s="44">
        <v>7</v>
      </c>
      <c r="G24" s="45">
        <f t="shared" si="1"/>
        <v>8</v>
      </c>
      <c r="H24" s="23">
        <v>7</v>
      </c>
      <c r="I24" s="44">
        <v>7</v>
      </c>
      <c r="J24" s="45">
        <f t="shared" si="2"/>
        <v>7</v>
      </c>
      <c r="K24" s="23">
        <f t="shared" si="3"/>
        <v>7</v>
      </c>
      <c r="L24" s="44">
        <v>8</v>
      </c>
      <c r="M24" s="44">
        <f t="shared" si="4"/>
        <v>7.5</v>
      </c>
      <c r="O24" s="66" t="s">
        <v>31</v>
      </c>
      <c r="P24" s="66"/>
      <c r="Q24" s="66"/>
      <c r="R24" s="66"/>
      <c r="S24" s="66"/>
      <c r="T24" s="66"/>
    </row>
    <row r="25" spans="1:20" ht="18.75">
      <c r="O25" s="65"/>
      <c r="P25" s="65"/>
      <c r="Q25" s="65"/>
      <c r="R25" s="65"/>
      <c r="S25" s="65"/>
      <c r="T25" s="65"/>
    </row>
    <row r="26" spans="1:20" ht="19.5">
      <c r="J26" s="22"/>
      <c r="O26" s="65" t="s">
        <v>34</v>
      </c>
      <c r="P26" s="65"/>
      <c r="Q26" s="65"/>
      <c r="R26" s="65"/>
      <c r="S26" s="65"/>
      <c r="T26" s="65"/>
    </row>
  </sheetData>
  <mergeCells count="30">
    <mergeCell ref="O25:T25"/>
    <mergeCell ref="O26:T26"/>
    <mergeCell ref="O20:R20"/>
    <mergeCell ref="O18:T18"/>
    <mergeCell ref="O19:P19"/>
    <mergeCell ref="O22:T22"/>
    <mergeCell ref="O23:T23"/>
    <mergeCell ref="O24:T24"/>
    <mergeCell ref="A14:R14"/>
    <mergeCell ref="A16:A17"/>
    <mergeCell ref="B16:D16"/>
    <mergeCell ref="E16:G16"/>
    <mergeCell ref="H16:J16"/>
    <mergeCell ref="K16:K17"/>
    <mergeCell ref="L16:L17"/>
    <mergeCell ref="M16:M17"/>
    <mergeCell ref="O16:T16"/>
    <mergeCell ref="O17:T17"/>
    <mergeCell ref="A13:R13"/>
    <mergeCell ref="A3:R3"/>
    <mergeCell ref="S3:T7"/>
    <mergeCell ref="A4:R4"/>
    <mergeCell ref="A5:R5"/>
    <mergeCell ref="A6:R6"/>
    <mergeCell ref="A7:R7"/>
    <mergeCell ref="A8:R8"/>
    <mergeCell ref="A9:T9"/>
    <mergeCell ref="A10:R10"/>
    <mergeCell ref="A11:R11"/>
    <mergeCell ref="A12:R12"/>
  </mergeCells>
  <conditionalFormatting sqref="B18:M24 J26">
    <cfRule type="cellIs" dxfId="7" priority="1" operator="lessThanOrEqual">
      <formula>4</formula>
    </cfRule>
    <cfRule type="cellIs" dxfId="6" priority="2" operator="greaterThanOrEqual">
      <formula>5</formula>
    </cfRule>
  </conditionalFormatting>
  <pageMargins left="0.71" right="0.7" top="0.75" bottom="0.75" header="0.3" footer="0.3"/>
  <pageSetup paperSize="9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6"/>
  <sheetViews>
    <sheetView topLeftCell="C7" workbookViewId="0">
      <selection activeCell="A10" sqref="A10:R10"/>
    </sheetView>
  </sheetViews>
  <sheetFormatPr defaultColWidth="8.75" defaultRowHeight="15.75"/>
  <cols>
    <col min="1" max="1" width="15.75" style="49" customWidth="1"/>
    <col min="2" max="2" width="5.625" style="49" customWidth="1"/>
    <col min="3" max="3" width="4.875" style="49" customWidth="1"/>
    <col min="4" max="4" width="5.25" style="49" customWidth="1"/>
    <col min="5" max="5" width="5.75" style="49" customWidth="1"/>
    <col min="6" max="6" width="4.75" style="49" customWidth="1"/>
    <col min="7" max="7" width="4.375" style="49" customWidth="1"/>
    <col min="8" max="8" width="5.75" style="49" customWidth="1"/>
    <col min="9" max="9" width="5" style="49" customWidth="1"/>
    <col min="10" max="10" width="4.75" style="49" customWidth="1"/>
    <col min="11" max="11" width="3.375" style="49" customWidth="1"/>
    <col min="12" max="12" width="4" style="49" customWidth="1"/>
    <col min="13" max="13" width="4.125" style="49" customWidth="1"/>
    <col min="14" max="14" width="3.125" style="1" customWidth="1"/>
    <col min="15" max="15" width="12.375" style="1" customWidth="1"/>
    <col min="16" max="16384" width="8.75" style="1"/>
  </cols>
  <sheetData>
    <row r="1" spans="1:20" s="49" customFormat="1" ht="18.75">
      <c r="A1" s="3"/>
      <c r="B1" s="3"/>
      <c r="C1" s="3"/>
      <c r="D1" s="3"/>
      <c r="E1" s="3"/>
      <c r="F1" s="3"/>
      <c r="G1" s="3"/>
      <c r="H1" s="3"/>
      <c r="I1" s="3"/>
      <c r="J1" s="3"/>
    </row>
    <row r="2" spans="1:20" s="49" customFormat="1" ht="19.5" thickBot="1">
      <c r="A2" s="3"/>
      <c r="B2" s="3"/>
      <c r="C2" s="3"/>
      <c r="D2" s="3"/>
      <c r="E2" s="3"/>
      <c r="F2" s="3"/>
      <c r="G2" s="3"/>
      <c r="H2" s="3"/>
      <c r="I2" s="3"/>
      <c r="J2" s="5"/>
      <c r="K2" s="10"/>
      <c r="L2" s="10"/>
      <c r="M2" s="50"/>
    </row>
    <row r="3" spans="1:20" s="49" customFormat="1" ht="18.7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8"/>
      <c r="S3" s="69" t="s">
        <v>32</v>
      </c>
      <c r="T3" s="70"/>
    </row>
    <row r="4" spans="1:20" s="49" customFormat="1" ht="18.7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  <c r="S4" s="71"/>
      <c r="T4" s="72"/>
    </row>
    <row r="5" spans="1:20" s="49" customFormat="1" ht="18.75">
      <c r="A5" s="67" t="s">
        <v>2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  <c r="S5" s="71"/>
      <c r="T5" s="72"/>
    </row>
    <row r="6" spans="1:20" s="49" customFormat="1" ht="18.75">
      <c r="A6" s="82" t="s">
        <v>61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68"/>
      <c r="S6" s="71"/>
      <c r="T6" s="72"/>
    </row>
    <row r="7" spans="1:20" s="49" customFormat="1" ht="19.5" thickBo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8"/>
      <c r="S7" s="71"/>
      <c r="T7" s="74"/>
    </row>
    <row r="8" spans="1:20" s="49" customFormat="1" ht="18.75">
      <c r="A8" s="67" t="s">
        <v>3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37"/>
    </row>
    <row r="9" spans="1:20" s="49" customFormat="1" ht="21.75" customHeight="1">
      <c r="A9" s="65" t="s">
        <v>88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</row>
    <row r="10" spans="1:20" s="49" customFormat="1" ht="21.75" customHeight="1">
      <c r="A10" s="65" t="s">
        <v>89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20" s="49" customFormat="1" ht="21.75" customHeight="1">
      <c r="A11" s="65" t="s">
        <v>90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</row>
    <row r="12" spans="1:20" s="49" customFormat="1" ht="21.75" customHeight="1">
      <c r="A12" s="65" t="s">
        <v>91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20" s="49" customFormat="1" ht="21.75" customHeight="1">
      <c r="A13" s="65" t="s">
        <v>92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20" s="49" customFormat="1" ht="21.75" customHeight="1">
      <c r="A14" s="65" t="s">
        <v>93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spans="1:20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11"/>
      <c r="P15" s="11"/>
      <c r="Q15" s="11"/>
      <c r="R15" s="11"/>
    </row>
    <row r="16" spans="1:20" ht="18.75">
      <c r="A16" s="75" t="s">
        <v>4</v>
      </c>
      <c r="B16" s="77" t="s">
        <v>5</v>
      </c>
      <c r="C16" s="77"/>
      <c r="D16" s="78"/>
      <c r="E16" s="79" t="s">
        <v>35</v>
      </c>
      <c r="F16" s="77"/>
      <c r="G16" s="78"/>
      <c r="H16" s="79" t="s">
        <v>36</v>
      </c>
      <c r="I16" s="77"/>
      <c r="J16" s="78"/>
      <c r="K16" s="83" t="s">
        <v>9</v>
      </c>
      <c r="L16" s="80" t="s">
        <v>10</v>
      </c>
      <c r="M16" s="80" t="s">
        <v>11</v>
      </c>
      <c r="O16" s="65" t="s">
        <v>27</v>
      </c>
      <c r="P16" s="65"/>
      <c r="Q16" s="65"/>
      <c r="R16" s="65"/>
      <c r="S16" s="65"/>
      <c r="T16" s="65"/>
    </row>
    <row r="17" spans="1:20" ht="18.75">
      <c r="A17" s="76"/>
      <c r="B17" s="41" t="s">
        <v>6</v>
      </c>
      <c r="C17" s="41" t="s">
        <v>7</v>
      </c>
      <c r="D17" s="42" t="s">
        <v>8</v>
      </c>
      <c r="E17" s="43" t="s">
        <v>6</v>
      </c>
      <c r="F17" s="41" t="s">
        <v>7</v>
      </c>
      <c r="G17" s="42" t="s">
        <v>8</v>
      </c>
      <c r="H17" s="43" t="s">
        <v>6</v>
      </c>
      <c r="I17" s="41" t="s">
        <v>7</v>
      </c>
      <c r="J17" s="42" t="s">
        <v>8</v>
      </c>
      <c r="K17" s="84"/>
      <c r="L17" s="81"/>
      <c r="M17" s="81"/>
      <c r="O17" s="66" t="s">
        <v>24</v>
      </c>
      <c r="P17" s="66"/>
      <c r="Q17" s="66"/>
      <c r="R17" s="66"/>
      <c r="S17" s="66"/>
      <c r="T17" s="66"/>
    </row>
    <row r="18" spans="1:20" ht="18.75">
      <c r="A18" s="9" t="s">
        <v>67</v>
      </c>
      <c r="B18" s="44">
        <v>6</v>
      </c>
      <c r="C18" s="44">
        <v>6</v>
      </c>
      <c r="D18" s="45">
        <f>(C18+B18)/2</f>
        <v>6</v>
      </c>
      <c r="E18" s="48">
        <v>8</v>
      </c>
      <c r="F18" s="44">
        <v>8</v>
      </c>
      <c r="G18" s="45">
        <f>(F18+E18)/2</f>
        <v>8</v>
      </c>
      <c r="H18" s="48"/>
      <c r="I18" s="44"/>
      <c r="J18" s="45"/>
      <c r="K18" s="48"/>
      <c r="L18" s="44"/>
      <c r="M18" s="44"/>
      <c r="O18" s="66" t="s">
        <v>24</v>
      </c>
      <c r="P18" s="66"/>
      <c r="Q18" s="66"/>
      <c r="R18" s="66"/>
      <c r="S18" s="66"/>
      <c r="T18" s="66"/>
    </row>
    <row r="19" spans="1:20" ht="18.75">
      <c r="A19" s="9" t="s">
        <v>68</v>
      </c>
      <c r="B19" s="44">
        <v>8</v>
      </c>
      <c r="C19" s="44">
        <v>8</v>
      </c>
      <c r="D19" s="45">
        <f t="shared" ref="D19:D24" si="0">(C19+B19)/2</f>
        <v>8</v>
      </c>
      <c r="E19" s="48">
        <v>10</v>
      </c>
      <c r="F19" s="44">
        <v>10</v>
      </c>
      <c r="G19" s="45">
        <f t="shared" ref="G19:G24" si="1">(F19+E19)/2</f>
        <v>10</v>
      </c>
      <c r="H19" s="48"/>
      <c r="I19" s="44"/>
      <c r="J19" s="45"/>
      <c r="K19" s="48"/>
      <c r="L19" s="44"/>
      <c r="M19" s="44"/>
      <c r="O19" s="66" t="s">
        <v>95</v>
      </c>
      <c r="P19" s="66"/>
      <c r="Q19" s="46" t="s">
        <v>25</v>
      </c>
      <c r="R19" s="46"/>
      <c r="S19" s="46"/>
      <c r="T19" s="46"/>
    </row>
    <row r="20" spans="1:20" ht="18.75">
      <c r="A20" s="9" t="s">
        <v>66</v>
      </c>
      <c r="B20" s="44">
        <v>8</v>
      </c>
      <c r="C20" s="44">
        <v>6</v>
      </c>
      <c r="D20" s="45">
        <f t="shared" si="0"/>
        <v>7</v>
      </c>
      <c r="E20" s="48">
        <v>10</v>
      </c>
      <c r="F20" s="44">
        <v>10</v>
      </c>
      <c r="G20" s="45">
        <f t="shared" si="1"/>
        <v>10</v>
      </c>
      <c r="H20" s="48"/>
      <c r="I20" s="44"/>
      <c r="J20" s="45"/>
      <c r="K20" s="48"/>
      <c r="L20" s="44"/>
      <c r="M20" s="44"/>
      <c r="O20" s="66" t="s">
        <v>94</v>
      </c>
      <c r="P20" s="66"/>
      <c r="Q20" s="66"/>
      <c r="R20" s="66"/>
      <c r="S20" s="18"/>
      <c r="T20" s="18"/>
    </row>
    <row r="21" spans="1:20" ht="18.75">
      <c r="A21" s="9" t="s">
        <v>69</v>
      </c>
      <c r="B21" s="44">
        <v>8</v>
      </c>
      <c r="C21" s="44">
        <v>8</v>
      </c>
      <c r="D21" s="45">
        <f t="shared" si="0"/>
        <v>8</v>
      </c>
      <c r="E21" s="48">
        <v>10</v>
      </c>
      <c r="F21" s="44">
        <v>10</v>
      </c>
      <c r="G21" s="45">
        <f t="shared" si="1"/>
        <v>10</v>
      </c>
      <c r="H21" s="48"/>
      <c r="I21" s="44"/>
      <c r="J21" s="45"/>
      <c r="K21" s="48"/>
      <c r="L21" s="44"/>
      <c r="M21" s="44"/>
      <c r="O21" s="46"/>
      <c r="P21" s="46"/>
      <c r="Q21" s="46"/>
      <c r="R21" s="46"/>
      <c r="S21" s="46"/>
      <c r="T21" s="46"/>
    </row>
    <row r="22" spans="1:20" ht="18.75">
      <c r="A22" s="9" t="s">
        <v>70</v>
      </c>
      <c r="B22" s="44">
        <v>7</v>
      </c>
      <c r="C22" s="44">
        <v>7</v>
      </c>
      <c r="D22" s="45">
        <f t="shared" si="0"/>
        <v>7</v>
      </c>
      <c r="E22" s="48">
        <v>9</v>
      </c>
      <c r="F22" s="44">
        <v>7</v>
      </c>
      <c r="G22" s="45">
        <f t="shared" si="1"/>
        <v>8</v>
      </c>
      <c r="H22" s="48"/>
      <c r="I22" s="44"/>
      <c r="J22" s="45"/>
      <c r="K22" s="48"/>
      <c r="L22" s="44"/>
      <c r="M22" s="44"/>
      <c r="O22" s="82" t="s">
        <v>76</v>
      </c>
      <c r="P22" s="82"/>
      <c r="Q22" s="82"/>
      <c r="R22" s="82"/>
      <c r="S22" s="82"/>
      <c r="T22" s="82"/>
    </row>
    <row r="23" spans="1:20" ht="18.75">
      <c r="A23" s="9" t="s">
        <v>71</v>
      </c>
      <c r="B23" s="44">
        <v>5</v>
      </c>
      <c r="C23" s="44">
        <v>7</v>
      </c>
      <c r="D23" s="45">
        <f t="shared" si="0"/>
        <v>6</v>
      </c>
      <c r="E23" s="48">
        <v>8</v>
      </c>
      <c r="F23" s="44">
        <v>8</v>
      </c>
      <c r="G23" s="45">
        <f t="shared" si="1"/>
        <v>8</v>
      </c>
      <c r="H23" s="48"/>
      <c r="I23" s="44"/>
      <c r="J23" s="45"/>
      <c r="K23" s="48"/>
      <c r="L23" s="44"/>
      <c r="M23" s="44"/>
      <c r="O23" s="66" t="s">
        <v>96</v>
      </c>
      <c r="P23" s="66"/>
      <c r="Q23" s="66"/>
      <c r="R23" s="66"/>
      <c r="S23" s="66"/>
      <c r="T23" s="66"/>
    </row>
    <row r="24" spans="1:20" ht="18.75">
      <c r="A24" s="9" t="s">
        <v>72</v>
      </c>
      <c r="B24" s="44">
        <v>8</v>
      </c>
      <c r="C24" s="44">
        <v>6</v>
      </c>
      <c r="D24" s="45">
        <f t="shared" si="0"/>
        <v>7</v>
      </c>
      <c r="E24" s="48">
        <v>10</v>
      </c>
      <c r="F24" s="44">
        <v>10</v>
      </c>
      <c r="G24" s="45">
        <f t="shared" si="1"/>
        <v>10</v>
      </c>
      <c r="H24" s="48"/>
      <c r="I24" s="44"/>
      <c r="J24" s="45"/>
      <c r="K24" s="48"/>
      <c r="L24" s="44"/>
      <c r="M24" s="44"/>
      <c r="O24" s="66"/>
      <c r="P24" s="66"/>
      <c r="Q24" s="66"/>
      <c r="R24" s="66"/>
      <c r="S24" s="66"/>
      <c r="T24" s="66"/>
    </row>
    <row r="25" spans="1:20" ht="18.75">
      <c r="O25" s="65"/>
      <c r="P25" s="65"/>
      <c r="Q25" s="65"/>
      <c r="R25" s="65"/>
      <c r="S25" s="65"/>
      <c r="T25" s="65"/>
    </row>
    <row r="26" spans="1:20" ht="19.5">
      <c r="J26" s="47"/>
      <c r="O26" s="65" t="s">
        <v>34</v>
      </c>
      <c r="P26" s="65"/>
      <c r="Q26" s="65"/>
      <c r="R26" s="65"/>
      <c r="S26" s="65"/>
      <c r="T26" s="65"/>
    </row>
  </sheetData>
  <mergeCells count="30">
    <mergeCell ref="O25:T25"/>
    <mergeCell ref="O26:T26"/>
    <mergeCell ref="O18:T18"/>
    <mergeCell ref="O19:P19"/>
    <mergeCell ref="O20:R20"/>
    <mergeCell ref="O22:T22"/>
    <mergeCell ref="O23:T23"/>
    <mergeCell ref="O24:T24"/>
    <mergeCell ref="A14:R14"/>
    <mergeCell ref="A16:A17"/>
    <mergeCell ref="B16:D16"/>
    <mergeCell ref="E16:G16"/>
    <mergeCell ref="H16:J16"/>
    <mergeCell ref="K16:K17"/>
    <mergeCell ref="L16:L17"/>
    <mergeCell ref="M16:M17"/>
    <mergeCell ref="O16:T16"/>
    <mergeCell ref="O17:T17"/>
    <mergeCell ref="A13:R13"/>
    <mergeCell ref="A3:R3"/>
    <mergeCell ref="S3:T7"/>
    <mergeCell ref="A4:R4"/>
    <mergeCell ref="A5:R5"/>
    <mergeCell ref="A6:R6"/>
    <mergeCell ref="A7:R7"/>
    <mergeCell ref="A8:R8"/>
    <mergeCell ref="A9:T9"/>
    <mergeCell ref="A10:R10"/>
    <mergeCell ref="A11:R11"/>
    <mergeCell ref="A12:R12"/>
  </mergeCells>
  <conditionalFormatting sqref="J26 B18:M24">
    <cfRule type="cellIs" dxfId="5" priority="1" operator="lessThanOrEqual">
      <formula>4</formula>
    </cfRule>
    <cfRule type="cellIs" dxfId="4" priority="2" operator="greaterThanOrEqual">
      <formula>5</formula>
    </cfRule>
  </conditionalFormatting>
  <pageMargins left="0.71" right="0.7" top="0.75" bottom="0.75" header="0.3" footer="0.3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6"/>
  <sheetViews>
    <sheetView topLeftCell="A7" workbookViewId="0">
      <selection activeCell="O20" sqref="O20:R20"/>
    </sheetView>
  </sheetViews>
  <sheetFormatPr defaultColWidth="8.75" defaultRowHeight="15.75"/>
  <cols>
    <col min="1" max="1" width="15.75" style="24" customWidth="1"/>
    <col min="2" max="2" width="5.625" style="24" customWidth="1"/>
    <col min="3" max="3" width="4.875" style="24" customWidth="1"/>
    <col min="4" max="4" width="5.25" style="24" customWidth="1"/>
    <col min="5" max="5" width="5.75" style="24" customWidth="1"/>
    <col min="6" max="6" width="4.75" style="24" customWidth="1"/>
    <col min="7" max="7" width="4.375" style="24" customWidth="1"/>
    <col min="8" max="8" width="5.75" style="24" customWidth="1"/>
    <col min="9" max="9" width="5" style="24" customWidth="1"/>
    <col min="10" max="10" width="4.75" style="24" customWidth="1"/>
    <col min="11" max="11" width="3.375" style="24" customWidth="1"/>
    <col min="12" max="12" width="4" style="24" customWidth="1"/>
    <col min="13" max="13" width="4.125" style="24" customWidth="1"/>
    <col min="14" max="14" width="3.125" style="1" customWidth="1"/>
    <col min="15" max="15" width="12.375" style="1" customWidth="1"/>
    <col min="16" max="16384" width="8.75" style="1"/>
  </cols>
  <sheetData>
    <row r="1" spans="1:20" s="24" customFormat="1" ht="18.75">
      <c r="A1" s="3"/>
      <c r="B1" s="3"/>
      <c r="C1" s="3"/>
      <c r="D1" s="3"/>
      <c r="E1" s="3"/>
      <c r="F1" s="3"/>
      <c r="G1" s="3"/>
      <c r="H1" s="3"/>
      <c r="I1" s="3"/>
      <c r="J1" s="3"/>
    </row>
    <row r="2" spans="1:20" s="24" customFormat="1" ht="19.5" thickBot="1">
      <c r="A2" s="3"/>
      <c r="B2" s="3"/>
      <c r="C2" s="3"/>
      <c r="D2" s="3"/>
      <c r="E2" s="3"/>
      <c r="F2" s="3"/>
      <c r="G2" s="3"/>
      <c r="H2" s="3"/>
      <c r="I2" s="3"/>
      <c r="J2" s="5"/>
      <c r="K2" s="10"/>
      <c r="L2" s="10"/>
      <c r="M2" s="25"/>
    </row>
    <row r="3" spans="1:20" s="24" customFormat="1" ht="18.7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8"/>
      <c r="S3" s="69" t="s">
        <v>32</v>
      </c>
      <c r="T3" s="70"/>
    </row>
    <row r="4" spans="1:20" s="24" customFormat="1" ht="18.7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  <c r="S4" s="71"/>
      <c r="T4" s="72"/>
    </row>
    <row r="5" spans="1:20" s="24" customFormat="1" ht="18.75">
      <c r="A5" s="67" t="s">
        <v>2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  <c r="S5" s="71"/>
      <c r="T5" s="72"/>
    </row>
    <row r="6" spans="1:20" s="24" customFormat="1" ht="18.75">
      <c r="A6" s="82" t="s">
        <v>61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68"/>
      <c r="S6" s="71"/>
      <c r="T6" s="72"/>
    </row>
    <row r="7" spans="1:20" s="24" customFormat="1" ht="19.5" thickBo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8"/>
      <c r="S7" s="71"/>
      <c r="T7" s="74"/>
    </row>
    <row r="8" spans="1:20" s="24" customFormat="1" ht="18.75">
      <c r="A8" s="67" t="s">
        <v>3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37"/>
    </row>
    <row r="9" spans="1:20" s="36" customFormat="1" ht="21.75" customHeight="1">
      <c r="A9" s="65" t="s">
        <v>81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</row>
    <row r="10" spans="1:20" s="36" customFormat="1" ht="21.75" customHeight="1">
      <c r="A10" s="65" t="s">
        <v>82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20" s="36" customFormat="1" ht="21.75" customHeight="1">
      <c r="A11" s="65" t="s">
        <v>83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</row>
    <row r="12" spans="1:20" s="36" customFormat="1" ht="21.75" customHeight="1">
      <c r="A12" s="65" t="s">
        <v>84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20" s="36" customFormat="1" ht="21.75" customHeight="1">
      <c r="A13" s="65" t="s">
        <v>85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20" s="36" customFormat="1" ht="21.75" customHeight="1">
      <c r="A14" s="65" t="s">
        <v>86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spans="1:20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11"/>
      <c r="P15" s="11"/>
      <c r="Q15" s="11"/>
      <c r="R15" s="11"/>
    </row>
    <row r="16" spans="1:20" ht="18.75">
      <c r="A16" s="75" t="s">
        <v>4</v>
      </c>
      <c r="B16" s="77" t="s">
        <v>5</v>
      </c>
      <c r="C16" s="77"/>
      <c r="D16" s="78"/>
      <c r="E16" s="79" t="s">
        <v>35</v>
      </c>
      <c r="F16" s="77"/>
      <c r="G16" s="78"/>
      <c r="H16" s="79" t="s">
        <v>36</v>
      </c>
      <c r="I16" s="77"/>
      <c r="J16" s="78"/>
      <c r="K16" s="83" t="s">
        <v>9</v>
      </c>
      <c r="L16" s="80" t="s">
        <v>10</v>
      </c>
      <c r="M16" s="80" t="s">
        <v>11</v>
      </c>
      <c r="O16" s="65" t="s">
        <v>27</v>
      </c>
      <c r="P16" s="65"/>
      <c r="Q16" s="65"/>
      <c r="R16" s="65"/>
      <c r="S16" s="65"/>
      <c r="T16" s="65"/>
    </row>
    <row r="17" spans="1:20" ht="18.75">
      <c r="A17" s="76"/>
      <c r="B17" s="41" t="s">
        <v>6</v>
      </c>
      <c r="C17" s="41" t="s">
        <v>7</v>
      </c>
      <c r="D17" s="42" t="s">
        <v>8</v>
      </c>
      <c r="E17" s="43" t="s">
        <v>6</v>
      </c>
      <c r="F17" s="41" t="s">
        <v>7</v>
      </c>
      <c r="G17" s="42" t="s">
        <v>8</v>
      </c>
      <c r="H17" s="43" t="s">
        <v>6</v>
      </c>
      <c r="I17" s="41" t="s">
        <v>7</v>
      </c>
      <c r="J17" s="42" t="s">
        <v>8</v>
      </c>
      <c r="K17" s="84"/>
      <c r="L17" s="81"/>
      <c r="M17" s="81"/>
      <c r="O17" s="66" t="s">
        <v>24</v>
      </c>
      <c r="P17" s="66"/>
      <c r="Q17" s="66"/>
      <c r="R17" s="66"/>
      <c r="S17" s="66"/>
      <c r="T17" s="66"/>
    </row>
    <row r="18" spans="1:20" ht="18.75">
      <c r="A18" s="9" t="s">
        <v>67</v>
      </c>
      <c r="B18" s="44">
        <v>6</v>
      </c>
      <c r="C18" s="44">
        <v>6</v>
      </c>
      <c r="D18" s="45">
        <f>(C18+B18)/2</f>
        <v>6</v>
      </c>
      <c r="E18" s="23">
        <v>4</v>
      </c>
      <c r="F18" s="44">
        <v>6</v>
      </c>
      <c r="G18" s="45">
        <f>(F18+E18)/2</f>
        <v>5</v>
      </c>
      <c r="H18" s="23">
        <v>7</v>
      </c>
      <c r="I18" s="44">
        <v>7</v>
      </c>
      <c r="J18" s="45">
        <f>(I18+H18)/2</f>
        <v>7</v>
      </c>
      <c r="K18" s="23">
        <f>(J18+G18+D18)/3</f>
        <v>6</v>
      </c>
      <c r="L18" s="44">
        <v>7</v>
      </c>
      <c r="M18" s="44">
        <f>(K18+L18)/2</f>
        <v>6.5</v>
      </c>
      <c r="O18" s="66" t="s">
        <v>24</v>
      </c>
      <c r="P18" s="66"/>
      <c r="Q18" s="66"/>
      <c r="R18" s="66"/>
      <c r="S18" s="66"/>
      <c r="T18" s="66"/>
    </row>
    <row r="19" spans="1:20" ht="18.75">
      <c r="A19" s="9" t="s">
        <v>68</v>
      </c>
      <c r="B19" s="44">
        <v>5</v>
      </c>
      <c r="C19" s="44">
        <v>5</v>
      </c>
      <c r="D19" s="45">
        <f t="shared" ref="D19:D24" si="0">(C19+B19)/2</f>
        <v>5</v>
      </c>
      <c r="E19" s="23">
        <v>8</v>
      </c>
      <c r="F19" s="44">
        <v>6</v>
      </c>
      <c r="G19" s="45">
        <f t="shared" ref="G19:G24" si="1">(F19+E19)/2</f>
        <v>7</v>
      </c>
      <c r="H19" s="23">
        <v>5</v>
      </c>
      <c r="I19" s="44">
        <v>5</v>
      </c>
      <c r="J19" s="45">
        <f t="shared" ref="J19:J24" si="2">(I19+H19)/2</f>
        <v>5</v>
      </c>
      <c r="K19" s="23">
        <f t="shared" ref="K19:K24" si="3">(J19+G19+D19)/3</f>
        <v>5.666666666666667</v>
      </c>
      <c r="L19" s="44">
        <v>8</v>
      </c>
      <c r="M19" s="44">
        <f t="shared" ref="M19:M24" si="4">(K19+L19)/2</f>
        <v>6.8333333333333339</v>
      </c>
      <c r="O19" s="66" t="s">
        <v>73</v>
      </c>
      <c r="P19" s="66"/>
      <c r="Q19" s="20" t="s">
        <v>25</v>
      </c>
      <c r="R19" s="20"/>
      <c r="S19" s="20"/>
      <c r="T19" s="20"/>
    </row>
    <row r="20" spans="1:20" ht="18.75">
      <c r="A20" s="9" t="s">
        <v>66</v>
      </c>
      <c r="B20" s="44">
        <v>8</v>
      </c>
      <c r="C20" s="44">
        <v>6</v>
      </c>
      <c r="D20" s="45">
        <f t="shared" si="0"/>
        <v>7</v>
      </c>
      <c r="E20" s="23">
        <v>6</v>
      </c>
      <c r="F20" s="44">
        <v>4</v>
      </c>
      <c r="G20" s="45">
        <f t="shared" si="1"/>
        <v>5</v>
      </c>
      <c r="H20" s="23">
        <v>7</v>
      </c>
      <c r="I20" s="44">
        <v>9</v>
      </c>
      <c r="J20" s="45">
        <f t="shared" si="2"/>
        <v>8</v>
      </c>
      <c r="K20" s="23">
        <f t="shared" si="3"/>
        <v>6.666666666666667</v>
      </c>
      <c r="L20" s="44">
        <v>6</v>
      </c>
      <c r="M20" s="44">
        <f t="shared" si="4"/>
        <v>6.3333333333333339</v>
      </c>
      <c r="O20" s="66" t="s">
        <v>87</v>
      </c>
      <c r="P20" s="66"/>
      <c r="Q20" s="66"/>
      <c r="R20" s="66"/>
      <c r="S20" s="18"/>
      <c r="T20" s="18"/>
    </row>
    <row r="21" spans="1:20" ht="18.75">
      <c r="A21" s="9" t="s">
        <v>69</v>
      </c>
      <c r="B21" s="44">
        <v>8</v>
      </c>
      <c r="C21" s="44">
        <v>8</v>
      </c>
      <c r="D21" s="45">
        <f t="shared" si="0"/>
        <v>8</v>
      </c>
      <c r="E21" s="23">
        <v>8</v>
      </c>
      <c r="F21" s="44">
        <v>8</v>
      </c>
      <c r="G21" s="45">
        <f t="shared" si="1"/>
        <v>8</v>
      </c>
      <c r="H21" s="23">
        <v>8</v>
      </c>
      <c r="I21" s="44">
        <v>8</v>
      </c>
      <c r="J21" s="45">
        <f t="shared" si="2"/>
        <v>8</v>
      </c>
      <c r="K21" s="23">
        <f t="shared" si="3"/>
        <v>8</v>
      </c>
      <c r="L21" s="44">
        <v>7</v>
      </c>
      <c r="M21" s="44">
        <f t="shared" si="4"/>
        <v>7.5</v>
      </c>
      <c r="O21" s="20"/>
      <c r="P21" s="20"/>
      <c r="Q21" s="20"/>
      <c r="R21" s="20"/>
      <c r="S21" s="20"/>
      <c r="T21" s="20"/>
    </row>
    <row r="22" spans="1:20" ht="18.75">
      <c r="A22" s="9" t="s">
        <v>70</v>
      </c>
      <c r="B22" s="44">
        <v>7</v>
      </c>
      <c r="C22" s="44">
        <v>7</v>
      </c>
      <c r="D22" s="45">
        <f t="shared" si="0"/>
        <v>7</v>
      </c>
      <c r="E22" s="23">
        <v>7</v>
      </c>
      <c r="F22" s="44">
        <v>5</v>
      </c>
      <c r="G22" s="45">
        <f t="shared" si="1"/>
        <v>6</v>
      </c>
      <c r="H22" s="23">
        <v>6</v>
      </c>
      <c r="I22" s="44">
        <v>6</v>
      </c>
      <c r="J22" s="45">
        <f t="shared" si="2"/>
        <v>6</v>
      </c>
      <c r="K22" s="23">
        <f t="shared" si="3"/>
        <v>6.333333333333333</v>
      </c>
      <c r="L22" s="44">
        <v>6</v>
      </c>
      <c r="M22" s="44">
        <f t="shared" si="4"/>
        <v>6.1666666666666661</v>
      </c>
      <c r="O22" s="82" t="s">
        <v>29</v>
      </c>
      <c r="P22" s="82"/>
      <c r="Q22" s="82"/>
      <c r="R22" s="82"/>
      <c r="S22" s="82"/>
      <c r="T22" s="82"/>
    </row>
    <row r="23" spans="1:20" ht="18.75">
      <c r="A23" s="9" t="s">
        <v>71</v>
      </c>
      <c r="B23" s="44">
        <v>5</v>
      </c>
      <c r="C23" s="44">
        <v>7</v>
      </c>
      <c r="D23" s="45">
        <f t="shared" si="0"/>
        <v>6</v>
      </c>
      <c r="E23" s="23">
        <v>5</v>
      </c>
      <c r="F23" s="44">
        <v>5</v>
      </c>
      <c r="G23" s="45">
        <f t="shared" si="1"/>
        <v>5</v>
      </c>
      <c r="H23" s="23">
        <v>4</v>
      </c>
      <c r="I23" s="44">
        <v>6</v>
      </c>
      <c r="J23" s="45">
        <f t="shared" si="2"/>
        <v>5</v>
      </c>
      <c r="K23" s="23">
        <f t="shared" si="3"/>
        <v>5.333333333333333</v>
      </c>
      <c r="L23" s="44">
        <v>6</v>
      </c>
      <c r="M23" s="44">
        <f t="shared" si="4"/>
        <v>5.6666666666666661</v>
      </c>
      <c r="O23" s="66" t="s">
        <v>31</v>
      </c>
      <c r="P23" s="66"/>
      <c r="Q23" s="66"/>
      <c r="R23" s="66"/>
      <c r="S23" s="66"/>
      <c r="T23" s="66"/>
    </row>
    <row r="24" spans="1:20" ht="18.75">
      <c r="A24" s="9" t="s">
        <v>72</v>
      </c>
      <c r="B24" s="44">
        <v>8</v>
      </c>
      <c r="C24" s="44">
        <v>4</v>
      </c>
      <c r="D24" s="45">
        <f t="shared" si="0"/>
        <v>6</v>
      </c>
      <c r="E24" s="23">
        <v>9</v>
      </c>
      <c r="F24" s="44">
        <v>7</v>
      </c>
      <c r="G24" s="45">
        <f t="shared" si="1"/>
        <v>8</v>
      </c>
      <c r="H24" s="23">
        <v>7</v>
      </c>
      <c r="I24" s="44">
        <v>7</v>
      </c>
      <c r="J24" s="45">
        <f t="shared" si="2"/>
        <v>7</v>
      </c>
      <c r="K24" s="23">
        <f t="shared" si="3"/>
        <v>7</v>
      </c>
      <c r="L24" s="44">
        <v>8</v>
      </c>
      <c r="M24" s="44">
        <f t="shared" si="4"/>
        <v>7.5</v>
      </c>
      <c r="O24" s="66" t="s">
        <v>31</v>
      </c>
      <c r="P24" s="66"/>
      <c r="Q24" s="66"/>
      <c r="R24" s="66"/>
      <c r="S24" s="66"/>
      <c r="T24" s="66"/>
    </row>
    <row r="25" spans="1:20" ht="18.75">
      <c r="O25" s="65"/>
      <c r="P25" s="65"/>
      <c r="Q25" s="65"/>
      <c r="R25" s="65"/>
      <c r="S25" s="65"/>
      <c r="T25" s="65"/>
    </row>
    <row r="26" spans="1:20" ht="19.5">
      <c r="J26" s="22"/>
      <c r="O26" s="65" t="s">
        <v>34</v>
      </c>
      <c r="P26" s="65"/>
      <c r="Q26" s="65"/>
      <c r="R26" s="65"/>
      <c r="S26" s="65"/>
      <c r="T26" s="65"/>
    </row>
  </sheetData>
  <mergeCells count="30">
    <mergeCell ref="O25:T25"/>
    <mergeCell ref="O26:T26"/>
    <mergeCell ref="O18:T18"/>
    <mergeCell ref="O19:P19"/>
    <mergeCell ref="O20:R20"/>
    <mergeCell ref="O22:T22"/>
    <mergeCell ref="O23:T23"/>
    <mergeCell ref="O24:T24"/>
    <mergeCell ref="A14:R14"/>
    <mergeCell ref="A16:A17"/>
    <mergeCell ref="B16:D16"/>
    <mergeCell ref="E16:G16"/>
    <mergeCell ref="H16:J16"/>
    <mergeCell ref="K16:K17"/>
    <mergeCell ref="L16:L17"/>
    <mergeCell ref="M16:M17"/>
    <mergeCell ref="O16:T16"/>
    <mergeCell ref="O17:T17"/>
    <mergeCell ref="A13:R13"/>
    <mergeCell ref="A3:R3"/>
    <mergeCell ref="S3:T7"/>
    <mergeCell ref="A4:R4"/>
    <mergeCell ref="A5:R5"/>
    <mergeCell ref="A6:R6"/>
    <mergeCell ref="A7:R7"/>
    <mergeCell ref="A8:R8"/>
    <mergeCell ref="A9:T9"/>
    <mergeCell ref="A10:R10"/>
    <mergeCell ref="A11:R11"/>
    <mergeCell ref="A12:R12"/>
  </mergeCells>
  <conditionalFormatting sqref="B18:M24 J26">
    <cfRule type="cellIs" dxfId="3" priority="1" operator="lessThanOrEqual">
      <formula>4</formula>
    </cfRule>
    <cfRule type="cellIs" dxfId="2" priority="2" operator="greaterThanOrEqual">
      <formula>5</formula>
    </cfRule>
  </conditionalFormatting>
  <pageMargins left="0.71" right="0.7" top="0.75" bottom="0.75" header="0.3" footer="0.3"/>
  <pageSetup paperSize="9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5"/>
  <sheetViews>
    <sheetView tabSelected="1" workbookViewId="0">
      <selection activeCell="O8" sqref="O8"/>
    </sheetView>
  </sheetViews>
  <sheetFormatPr defaultColWidth="8.75" defaultRowHeight="15.75"/>
  <cols>
    <col min="1" max="1" width="16.75" style="24" customWidth="1"/>
    <col min="2" max="2" width="5.625" style="24" customWidth="1"/>
    <col min="3" max="3" width="4.875" style="24" customWidth="1"/>
    <col min="4" max="4" width="4" style="24" customWidth="1"/>
    <col min="5" max="5" width="5.75" style="24" customWidth="1"/>
    <col min="6" max="6" width="4.75" style="24" customWidth="1"/>
    <col min="7" max="7" width="3.625" style="24" customWidth="1"/>
    <col min="8" max="8" width="5.75" style="24" customWidth="1"/>
    <col min="9" max="9" width="5" style="24" customWidth="1"/>
    <col min="10" max="10" width="4.75" style="24" customWidth="1"/>
    <col min="11" max="11" width="3.375" style="24" customWidth="1"/>
    <col min="12" max="12" width="4" style="24" customWidth="1"/>
    <col min="13" max="13" width="4.125" style="24" customWidth="1"/>
    <col min="14" max="14" width="3.125" style="1" customWidth="1"/>
    <col min="15" max="15" width="12.375" style="1" customWidth="1"/>
    <col min="16" max="16384" width="8.75" style="1"/>
  </cols>
  <sheetData>
    <row r="1" spans="1:20" s="24" customFormat="1" ht="18.75">
      <c r="A1" s="3"/>
      <c r="B1" s="3"/>
      <c r="C1" s="3"/>
      <c r="D1" s="3"/>
      <c r="E1" s="3"/>
      <c r="F1" s="3"/>
      <c r="G1" s="3"/>
      <c r="H1" s="3"/>
      <c r="I1" s="3"/>
      <c r="J1" s="3"/>
    </row>
    <row r="2" spans="1:20" s="24" customFormat="1" ht="19.5" thickBot="1">
      <c r="A2" s="3"/>
      <c r="B2" s="3"/>
      <c r="C2" s="3"/>
      <c r="D2" s="3"/>
      <c r="E2" s="3"/>
      <c r="F2" s="3"/>
      <c r="G2" s="3"/>
      <c r="H2" s="3"/>
      <c r="I2" s="3"/>
      <c r="J2" s="5"/>
      <c r="K2" s="10"/>
      <c r="L2" s="10"/>
      <c r="M2" s="25"/>
    </row>
    <row r="3" spans="1:20" s="24" customFormat="1" ht="18.7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8"/>
      <c r="S3" s="69" t="s">
        <v>32</v>
      </c>
      <c r="T3" s="70"/>
    </row>
    <row r="4" spans="1:20" s="24" customFormat="1" ht="18.7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  <c r="S4" s="71"/>
      <c r="T4" s="72"/>
    </row>
    <row r="5" spans="1:20" s="24" customFormat="1" ht="18.75">
      <c r="A5" s="67" t="s">
        <v>61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71"/>
      <c r="T5" s="72"/>
    </row>
    <row r="6" spans="1:20" s="24" customFormat="1" ht="19.5" thickBo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71"/>
      <c r="T6" s="74"/>
    </row>
    <row r="7" spans="1:20" s="24" customFormat="1" ht="18.75">
      <c r="A7" s="67" t="s">
        <v>3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37"/>
    </row>
    <row r="8" spans="1:20" s="57" customFormat="1" ht="18.7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50"/>
    </row>
    <row r="9" spans="1:20" s="24" customFormat="1" ht="21.75" customHeight="1">
      <c r="A9" s="65" t="s">
        <v>126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</row>
    <row r="10" spans="1:20" s="24" customFormat="1" ht="21.75" customHeight="1">
      <c r="A10" s="65" t="s">
        <v>127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20" s="24" customFormat="1" ht="21.75" customHeight="1">
      <c r="A11" s="65" t="s">
        <v>128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</row>
    <row r="12" spans="1:20" s="24" customFormat="1" ht="21.75" customHeight="1">
      <c r="A12" s="65" t="s">
        <v>134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20" s="24" customFormat="1" ht="21.75" customHeight="1">
      <c r="A13" s="65" t="s">
        <v>129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20" s="24" customFormat="1" ht="21.75" customHeight="1">
      <c r="A14" s="65" t="s">
        <v>130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spans="1:20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11"/>
      <c r="P15" s="11"/>
      <c r="Q15" s="11"/>
      <c r="R15" s="11"/>
    </row>
    <row r="16" spans="1:20" ht="18.75">
      <c r="A16" s="75" t="s">
        <v>4</v>
      </c>
      <c r="B16" s="77" t="s">
        <v>5</v>
      </c>
      <c r="C16" s="77"/>
      <c r="D16" s="78"/>
      <c r="E16" s="79" t="s">
        <v>35</v>
      </c>
      <c r="F16" s="77"/>
      <c r="G16" s="78"/>
      <c r="H16" s="79" t="s">
        <v>36</v>
      </c>
      <c r="I16" s="77"/>
      <c r="J16" s="78"/>
      <c r="K16" s="83" t="s">
        <v>9</v>
      </c>
      <c r="L16" s="80" t="s">
        <v>10</v>
      </c>
      <c r="M16" s="80" t="s">
        <v>11</v>
      </c>
      <c r="O16" s="85" t="s">
        <v>131</v>
      </c>
      <c r="P16" s="65"/>
      <c r="Q16" s="65"/>
      <c r="R16" s="65"/>
      <c r="S16" s="65"/>
      <c r="T16" s="65"/>
    </row>
    <row r="17" spans="1:20" ht="18.75">
      <c r="A17" s="76"/>
      <c r="B17" s="41" t="s">
        <v>6</v>
      </c>
      <c r="C17" s="41" t="s">
        <v>7</v>
      </c>
      <c r="D17" s="42" t="s">
        <v>8</v>
      </c>
      <c r="E17" s="43" t="s">
        <v>6</v>
      </c>
      <c r="F17" s="41" t="s">
        <v>7</v>
      </c>
      <c r="G17" s="42" t="s">
        <v>8</v>
      </c>
      <c r="H17" s="43" t="s">
        <v>6</v>
      </c>
      <c r="I17" s="41" t="s">
        <v>7</v>
      </c>
      <c r="J17" s="42" t="s">
        <v>8</v>
      </c>
      <c r="K17" s="84"/>
      <c r="L17" s="81"/>
      <c r="M17" s="81"/>
      <c r="O17" s="66" t="s">
        <v>24</v>
      </c>
      <c r="P17" s="66"/>
      <c r="Q17" s="66"/>
      <c r="R17" s="66"/>
      <c r="S17" s="66"/>
      <c r="T17" s="66"/>
    </row>
    <row r="18" spans="1:20" ht="18.75">
      <c r="A18" s="9" t="s">
        <v>125</v>
      </c>
      <c r="B18" s="23">
        <v>10</v>
      </c>
      <c r="C18" s="44">
        <v>12</v>
      </c>
      <c r="D18" s="45">
        <f>(C18+B18)/2</f>
        <v>11</v>
      </c>
      <c r="E18" s="23">
        <v>12</v>
      </c>
      <c r="F18" s="64">
        <v>11</v>
      </c>
      <c r="G18" s="45">
        <f>(F18+E18)/2</f>
        <v>11.5</v>
      </c>
      <c r="H18" s="23">
        <v>11</v>
      </c>
      <c r="I18" s="44">
        <v>11</v>
      </c>
      <c r="J18" s="45">
        <f>(I18+H18)/2</f>
        <v>11</v>
      </c>
      <c r="K18" s="23">
        <f>(J18+G18+D18)/3</f>
        <v>11.166666666666666</v>
      </c>
      <c r="L18" s="44">
        <v>12</v>
      </c>
      <c r="M18" s="44">
        <f>(K18+L18)/2</f>
        <v>11.583333333333332</v>
      </c>
      <c r="O18" s="66" t="s">
        <v>24</v>
      </c>
      <c r="P18" s="66"/>
      <c r="Q18" s="66"/>
      <c r="R18" s="66"/>
      <c r="S18" s="66"/>
      <c r="T18" s="66"/>
    </row>
    <row r="19" spans="1:20" ht="18.75">
      <c r="A19" s="9" t="s">
        <v>99</v>
      </c>
      <c r="B19" s="48">
        <v>11</v>
      </c>
      <c r="C19" s="44">
        <v>12</v>
      </c>
      <c r="D19" s="45">
        <f t="shared" ref="D19:D23" si="0">(C19+B19)/2</f>
        <v>11.5</v>
      </c>
      <c r="E19" s="23">
        <v>12</v>
      </c>
      <c r="F19" s="64">
        <v>8</v>
      </c>
      <c r="G19" s="45">
        <f t="shared" ref="G19:G23" si="1">(F19+E19)/2</f>
        <v>10</v>
      </c>
      <c r="H19" s="23">
        <v>11</v>
      </c>
      <c r="I19" s="44">
        <v>12</v>
      </c>
      <c r="J19" s="45">
        <f t="shared" ref="J19:J23" si="2">(I19+H19)/2</f>
        <v>11.5</v>
      </c>
      <c r="K19" s="23">
        <f t="shared" ref="K19:K23" si="3">(J19+G19+D19)/3</f>
        <v>11</v>
      </c>
      <c r="L19" s="64">
        <v>8</v>
      </c>
      <c r="M19" s="44">
        <f t="shared" ref="M19:M23" si="4">(K19+L19)/2</f>
        <v>9.5</v>
      </c>
      <c r="O19" s="66" t="s">
        <v>132</v>
      </c>
      <c r="P19" s="66"/>
      <c r="Q19" s="20" t="s">
        <v>25</v>
      </c>
      <c r="R19" s="20"/>
      <c r="S19" s="20"/>
      <c r="T19" s="20"/>
    </row>
    <row r="20" spans="1:20" ht="18.75">
      <c r="A20" s="9" t="s">
        <v>115</v>
      </c>
      <c r="B20" s="48">
        <v>10</v>
      </c>
      <c r="C20" s="44">
        <v>12</v>
      </c>
      <c r="D20" s="45">
        <f t="shared" si="0"/>
        <v>11</v>
      </c>
      <c r="E20" s="23">
        <v>10</v>
      </c>
      <c r="F20" s="44">
        <v>11</v>
      </c>
      <c r="G20" s="45">
        <f t="shared" si="1"/>
        <v>10.5</v>
      </c>
      <c r="H20" s="23">
        <v>13</v>
      </c>
      <c r="I20" s="64">
        <v>9</v>
      </c>
      <c r="J20" s="45">
        <f t="shared" si="2"/>
        <v>11</v>
      </c>
      <c r="K20" s="23">
        <f t="shared" si="3"/>
        <v>10.833333333333334</v>
      </c>
      <c r="L20" s="44">
        <v>11</v>
      </c>
      <c r="M20" s="44">
        <f t="shared" si="4"/>
        <v>10.916666666666668</v>
      </c>
      <c r="O20" s="66" t="s">
        <v>133</v>
      </c>
      <c r="P20" s="66"/>
      <c r="Q20" s="66"/>
      <c r="R20" s="66"/>
      <c r="S20" s="18"/>
      <c r="T20" s="18"/>
    </row>
    <row r="21" spans="1:20" ht="18.75">
      <c r="A21" s="9" t="s">
        <v>103</v>
      </c>
      <c r="B21" s="48">
        <v>10</v>
      </c>
      <c r="C21" s="44">
        <v>12</v>
      </c>
      <c r="D21" s="45">
        <f t="shared" si="0"/>
        <v>11</v>
      </c>
      <c r="E21" s="23">
        <v>11</v>
      </c>
      <c r="F21" s="44">
        <v>13</v>
      </c>
      <c r="G21" s="45">
        <f t="shared" si="1"/>
        <v>12</v>
      </c>
      <c r="H21" s="23">
        <v>12</v>
      </c>
      <c r="I21" s="44">
        <v>12</v>
      </c>
      <c r="J21" s="45">
        <f t="shared" si="2"/>
        <v>12</v>
      </c>
      <c r="K21" s="23">
        <f t="shared" si="3"/>
        <v>11.666666666666666</v>
      </c>
      <c r="L21" s="44">
        <v>12</v>
      </c>
      <c r="M21" s="44">
        <f t="shared" si="4"/>
        <v>11.833333333333332</v>
      </c>
      <c r="O21" s="20"/>
      <c r="P21" s="20"/>
      <c r="Q21" s="20"/>
      <c r="R21" s="20"/>
      <c r="S21" s="20"/>
      <c r="T21" s="20"/>
    </row>
    <row r="22" spans="1:20" ht="18.75">
      <c r="A22" s="9" t="s">
        <v>104</v>
      </c>
      <c r="B22" s="48">
        <v>10</v>
      </c>
      <c r="C22" s="64">
        <v>9</v>
      </c>
      <c r="D22" s="45">
        <f t="shared" si="0"/>
        <v>9.5</v>
      </c>
      <c r="E22" s="23">
        <v>13</v>
      </c>
      <c r="F22" s="44">
        <v>10</v>
      </c>
      <c r="G22" s="45">
        <f t="shared" si="1"/>
        <v>11.5</v>
      </c>
      <c r="H22" s="23">
        <v>11</v>
      </c>
      <c r="I22" s="44">
        <v>11</v>
      </c>
      <c r="J22" s="45">
        <f t="shared" si="2"/>
        <v>11</v>
      </c>
      <c r="K22" s="23">
        <f t="shared" si="3"/>
        <v>10.666666666666666</v>
      </c>
      <c r="L22" s="44">
        <v>13</v>
      </c>
      <c r="M22" s="44">
        <f t="shared" si="4"/>
        <v>11.833333333333332</v>
      </c>
      <c r="O22" s="82" t="s">
        <v>29</v>
      </c>
      <c r="P22" s="82"/>
      <c r="Q22" s="82"/>
      <c r="R22" s="82"/>
      <c r="S22" s="82"/>
      <c r="T22" s="82"/>
    </row>
    <row r="23" spans="1:20" ht="18.75">
      <c r="A23" s="9" t="s">
        <v>72</v>
      </c>
      <c r="B23" s="48">
        <v>10</v>
      </c>
      <c r="C23" s="44">
        <v>12</v>
      </c>
      <c r="D23" s="45">
        <f t="shared" si="0"/>
        <v>11</v>
      </c>
      <c r="E23" s="23">
        <v>13</v>
      </c>
      <c r="F23" s="44">
        <v>9</v>
      </c>
      <c r="G23" s="45">
        <f t="shared" si="1"/>
        <v>11</v>
      </c>
      <c r="H23" s="23">
        <v>13</v>
      </c>
      <c r="I23" s="44">
        <v>13</v>
      </c>
      <c r="J23" s="45">
        <f t="shared" si="2"/>
        <v>13</v>
      </c>
      <c r="K23" s="23">
        <f t="shared" si="3"/>
        <v>11.666666666666666</v>
      </c>
      <c r="L23" s="44">
        <v>12</v>
      </c>
      <c r="M23" s="44">
        <f t="shared" si="4"/>
        <v>11.833333333333332</v>
      </c>
      <c r="O23" s="66" t="s">
        <v>31</v>
      </c>
      <c r="P23" s="66"/>
      <c r="Q23" s="66"/>
      <c r="R23" s="66"/>
      <c r="S23" s="66"/>
      <c r="T23" s="66"/>
    </row>
    <row r="24" spans="1:20" ht="18.75">
      <c r="O24" s="65"/>
      <c r="P24" s="65"/>
      <c r="Q24" s="65"/>
      <c r="R24" s="65"/>
      <c r="S24" s="65"/>
      <c r="T24" s="65"/>
    </row>
    <row r="25" spans="1:20" ht="19.5">
      <c r="J25" s="22"/>
      <c r="O25" s="65" t="s">
        <v>34</v>
      </c>
      <c r="P25" s="65"/>
      <c r="Q25" s="65"/>
      <c r="R25" s="65"/>
      <c r="S25" s="65"/>
      <c r="T25" s="65"/>
    </row>
  </sheetData>
  <mergeCells count="28">
    <mergeCell ref="O24:T24"/>
    <mergeCell ref="O25:T25"/>
    <mergeCell ref="O18:T18"/>
    <mergeCell ref="O19:P19"/>
    <mergeCell ref="O20:R20"/>
    <mergeCell ref="O22:T22"/>
    <mergeCell ref="O23:T23"/>
    <mergeCell ref="A14:R14"/>
    <mergeCell ref="A16:A17"/>
    <mergeCell ref="B16:D16"/>
    <mergeCell ref="E16:G16"/>
    <mergeCell ref="H16:J16"/>
    <mergeCell ref="K16:K17"/>
    <mergeCell ref="L16:L17"/>
    <mergeCell ref="M16:M17"/>
    <mergeCell ref="O16:T16"/>
    <mergeCell ref="O17:T17"/>
    <mergeCell ref="A13:R13"/>
    <mergeCell ref="A3:R3"/>
    <mergeCell ref="S3:T6"/>
    <mergeCell ref="A4:R4"/>
    <mergeCell ref="A5:R5"/>
    <mergeCell ref="A6:R6"/>
    <mergeCell ref="A7:R7"/>
    <mergeCell ref="A9:T9"/>
    <mergeCell ref="A10:R10"/>
    <mergeCell ref="A11:R11"/>
    <mergeCell ref="A12:R12"/>
  </mergeCells>
  <conditionalFormatting sqref="J25 F20:F23 C23 F18 B18:B23 D18:E23 C18:C21 G18:H23 I21:I23 I18:I19 J18:K23 M18:M23 L18 L20:L23">
    <cfRule type="cellIs" dxfId="1" priority="1" operator="lessThanOrEqual">
      <formula>4</formula>
    </cfRule>
    <cfRule type="cellIs" dxfId="0" priority="2" operator="greaterThanOrEqual">
      <formula>5</formula>
    </cfRule>
  </conditionalFormatting>
  <pageMargins left="0.71" right="0.7" top="0.75" bottom="0.75" header="0.3" footer="0.3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0"/>
  <sheetViews>
    <sheetView zoomScale="85" zoomScaleNormal="85" workbookViewId="0">
      <selection activeCell="A5" sqref="A5:R7"/>
    </sheetView>
  </sheetViews>
  <sheetFormatPr defaultColWidth="8.75" defaultRowHeight="15.75"/>
  <cols>
    <col min="1" max="1" width="19.75" style="24" bestFit="1" customWidth="1"/>
    <col min="2" max="11" width="5.25" style="24" customWidth="1"/>
    <col min="12" max="13" width="5.125" style="24" customWidth="1"/>
    <col min="14" max="14" width="3.125" style="1" customWidth="1"/>
    <col min="15" max="15" width="12.375" style="1" customWidth="1"/>
    <col min="16" max="17" width="8.75" style="1"/>
    <col min="18" max="18" width="8.75" style="1" customWidth="1"/>
    <col min="19" max="16384" width="8.75" style="1"/>
  </cols>
  <sheetData>
    <row r="1" spans="1:20" s="24" customFormat="1" ht="18.75">
      <c r="A1" s="3"/>
      <c r="B1" s="3"/>
      <c r="C1" s="3"/>
      <c r="D1" s="3"/>
      <c r="E1" s="3"/>
      <c r="F1" s="3"/>
      <c r="G1" s="3"/>
      <c r="H1" s="3"/>
      <c r="I1" s="3"/>
      <c r="J1" s="3"/>
    </row>
    <row r="2" spans="1:20" s="24" customFormat="1" ht="18.75">
      <c r="A2" s="3"/>
      <c r="B2" s="3"/>
      <c r="C2" s="3"/>
      <c r="D2" s="3"/>
      <c r="E2" s="3"/>
      <c r="F2" s="3"/>
      <c r="G2" s="3"/>
      <c r="H2" s="3"/>
      <c r="I2" s="3"/>
      <c r="J2" s="5"/>
      <c r="K2" s="10"/>
      <c r="L2" s="10"/>
      <c r="M2" s="25"/>
    </row>
    <row r="3" spans="1:20" s="24" customFormat="1" ht="18.7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87"/>
      <c r="T3" s="87"/>
    </row>
    <row r="4" spans="1:20" s="24" customFormat="1" ht="18.7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87"/>
      <c r="T4" s="87"/>
    </row>
    <row r="5" spans="1:20" s="24" customFormat="1" ht="18.75">
      <c r="A5" s="67" t="s">
        <v>61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87"/>
      <c r="T5" s="87"/>
    </row>
    <row r="6" spans="1:20" s="24" customFormat="1" ht="18.75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67"/>
      <c r="S6" s="87"/>
      <c r="T6" s="87"/>
    </row>
    <row r="7" spans="1:20" s="24" customFormat="1" ht="18.75">
      <c r="A7" s="67" t="s">
        <v>3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87"/>
      <c r="T7" s="87"/>
    </row>
    <row r="8" spans="1:20" s="24" customFormat="1" ht="8.25" customHeight="1">
      <c r="A8" s="19"/>
      <c r="B8" s="19"/>
      <c r="C8" s="19"/>
      <c r="D8" s="19"/>
      <c r="E8" s="19"/>
      <c r="F8" s="19"/>
      <c r="G8" s="19"/>
      <c r="H8" s="19"/>
      <c r="I8" s="19"/>
      <c r="J8" s="21"/>
      <c r="K8" s="7"/>
      <c r="L8" s="7"/>
      <c r="M8" s="25"/>
    </row>
    <row r="9" spans="1:20" s="24" customFormat="1" ht="18.75">
      <c r="A9" s="86" t="s">
        <v>109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</row>
    <row r="10" spans="1:20" s="24" customFormat="1" ht="18.75">
      <c r="A10" s="86" t="s">
        <v>110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</row>
    <row r="11" spans="1:20" s="24" customFormat="1" ht="18.75">
      <c r="A11" s="86" t="s">
        <v>112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</row>
    <row r="12" spans="1:20" s="24" customFormat="1" ht="18.75">
      <c r="A12" s="86" t="s">
        <v>111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</row>
    <row r="13" spans="1:20" s="24" customFormat="1" ht="18.75">
      <c r="A13" s="86" t="s">
        <v>107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</row>
    <row r="14" spans="1:20" s="24" customFormat="1" ht="18.75">
      <c r="A14" s="86" t="s">
        <v>113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</row>
    <row r="15" spans="1:20" ht="9.75" customHeight="1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11"/>
      <c r="P15" s="11"/>
      <c r="Q15" s="11"/>
      <c r="R15" s="11"/>
    </row>
    <row r="16" spans="1:20" ht="18.75">
      <c r="A16" s="75" t="s">
        <v>4</v>
      </c>
      <c r="B16" s="77" t="s">
        <v>5</v>
      </c>
      <c r="C16" s="77"/>
      <c r="D16" s="78"/>
      <c r="E16" s="79" t="s">
        <v>35</v>
      </c>
      <c r="F16" s="77"/>
      <c r="G16" s="78"/>
      <c r="H16" s="79" t="s">
        <v>36</v>
      </c>
      <c r="I16" s="77"/>
      <c r="J16" s="78"/>
      <c r="K16" s="88" t="s">
        <v>9</v>
      </c>
      <c r="L16" s="89" t="s">
        <v>10</v>
      </c>
      <c r="M16" s="89" t="s">
        <v>11</v>
      </c>
      <c r="O16" s="65" t="s">
        <v>108</v>
      </c>
      <c r="P16" s="65"/>
      <c r="Q16" s="65"/>
      <c r="R16" s="65"/>
      <c r="S16" s="65"/>
      <c r="T16" s="65"/>
    </row>
    <row r="17" spans="1:20" ht="18.75">
      <c r="A17" s="76"/>
      <c r="B17" s="52" t="s">
        <v>6</v>
      </c>
      <c r="C17" s="52" t="s">
        <v>7</v>
      </c>
      <c r="D17" s="53" t="s">
        <v>8</v>
      </c>
      <c r="E17" s="54" t="s">
        <v>6</v>
      </c>
      <c r="F17" s="52" t="s">
        <v>7</v>
      </c>
      <c r="G17" s="53" t="s">
        <v>8</v>
      </c>
      <c r="H17" s="54" t="s">
        <v>6</v>
      </c>
      <c r="I17" s="52" t="s">
        <v>7</v>
      </c>
      <c r="J17" s="53" t="s">
        <v>8</v>
      </c>
      <c r="K17" s="88"/>
      <c r="L17" s="89"/>
      <c r="M17" s="89"/>
      <c r="O17" s="65" t="s">
        <v>31</v>
      </c>
      <c r="P17" s="65"/>
      <c r="Q17" s="65"/>
      <c r="R17" s="65"/>
      <c r="S17" s="65"/>
      <c r="T17" s="65"/>
    </row>
    <row r="18" spans="1:20" ht="18.75">
      <c r="A18" s="9" t="s">
        <v>12</v>
      </c>
      <c r="B18" s="9"/>
      <c r="C18" s="9"/>
      <c r="D18" s="13"/>
      <c r="E18" s="12"/>
      <c r="F18" s="9"/>
      <c r="G18" s="13"/>
      <c r="H18" s="12"/>
      <c r="I18" s="9"/>
      <c r="J18" s="13"/>
      <c r="K18" s="12"/>
      <c r="L18" s="9"/>
      <c r="M18" s="9"/>
      <c r="O18" s="65" t="s">
        <v>31</v>
      </c>
      <c r="P18" s="65"/>
      <c r="Q18" s="65"/>
      <c r="R18" s="65"/>
      <c r="S18" s="65"/>
      <c r="T18" s="65"/>
    </row>
    <row r="19" spans="1:20" ht="18.75">
      <c r="A19" s="9" t="s">
        <v>13</v>
      </c>
      <c r="B19" s="9"/>
      <c r="C19" s="9"/>
      <c r="D19" s="13"/>
      <c r="E19" s="12"/>
      <c r="F19" s="9"/>
      <c r="G19" s="13"/>
      <c r="H19" s="12"/>
      <c r="I19" s="9"/>
      <c r="J19" s="13"/>
      <c r="K19" s="12"/>
      <c r="L19" s="9"/>
      <c r="M19" s="9"/>
      <c r="O19" s="66" t="s">
        <v>26</v>
      </c>
      <c r="P19" s="66"/>
      <c r="Q19" s="20" t="s">
        <v>25</v>
      </c>
      <c r="R19" s="20"/>
      <c r="S19" s="20"/>
      <c r="T19" s="20"/>
    </row>
    <row r="20" spans="1:20" ht="18.75">
      <c r="A20" s="9" t="s">
        <v>99</v>
      </c>
      <c r="B20" s="9"/>
      <c r="C20" s="9"/>
      <c r="D20" s="13"/>
      <c r="E20" s="12"/>
      <c r="F20" s="9"/>
      <c r="G20" s="13"/>
      <c r="H20" s="12"/>
      <c r="I20" s="9"/>
      <c r="J20" s="13"/>
      <c r="K20" s="12"/>
      <c r="L20" s="9"/>
      <c r="M20" s="9"/>
      <c r="O20" s="51"/>
      <c r="P20" s="51"/>
      <c r="Q20" s="51"/>
      <c r="R20" s="51"/>
      <c r="S20" s="51"/>
      <c r="T20" s="51"/>
    </row>
    <row r="21" spans="1:20" ht="18.75">
      <c r="A21" s="9" t="s">
        <v>100</v>
      </c>
      <c r="B21" s="9"/>
      <c r="C21" s="9"/>
      <c r="D21" s="13"/>
      <c r="E21" s="12"/>
      <c r="F21" s="9"/>
      <c r="G21" s="13"/>
      <c r="H21" s="12"/>
      <c r="I21" s="9"/>
      <c r="J21" s="13"/>
      <c r="K21" s="12"/>
      <c r="L21" s="9"/>
      <c r="M21" s="9"/>
      <c r="O21" s="51"/>
      <c r="P21" s="51"/>
      <c r="Q21" s="51"/>
      <c r="R21" s="51"/>
      <c r="S21" s="51"/>
      <c r="T21" s="51"/>
    </row>
    <row r="22" spans="1:20" ht="18.75">
      <c r="A22" s="9" t="s">
        <v>98</v>
      </c>
      <c r="B22" s="9"/>
      <c r="C22" s="9"/>
      <c r="D22" s="13"/>
      <c r="E22" s="12"/>
      <c r="F22" s="9"/>
      <c r="G22" s="13"/>
      <c r="H22" s="12"/>
      <c r="I22" s="9"/>
      <c r="J22" s="13"/>
      <c r="K22" s="12"/>
      <c r="L22" s="9"/>
      <c r="M22" s="9"/>
      <c r="O22" s="65" t="s">
        <v>33</v>
      </c>
      <c r="P22" s="65"/>
      <c r="Q22" s="65"/>
      <c r="R22" s="65"/>
      <c r="S22" s="65"/>
      <c r="T22" s="65"/>
    </row>
    <row r="23" spans="1:20" ht="18.75">
      <c r="A23" s="9" t="s">
        <v>72</v>
      </c>
      <c r="B23" s="9"/>
      <c r="C23" s="9"/>
      <c r="D23" s="13"/>
      <c r="E23" s="12"/>
      <c r="F23" s="9"/>
      <c r="G23" s="13"/>
      <c r="H23" s="12"/>
      <c r="I23" s="9"/>
      <c r="J23" s="13"/>
      <c r="K23" s="12"/>
      <c r="L23" s="9"/>
      <c r="M23" s="9"/>
      <c r="O23" s="20"/>
      <c r="P23" s="20"/>
      <c r="Q23" s="20"/>
      <c r="R23" s="20"/>
      <c r="S23" s="20"/>
      <c r="T23" s="20"/>
    </row>
    <row r="24" spans="1:20" ht="18.75">
      <c r="A24" s="9" t="s">
        <v>97</v>
      </c>
      <c r="B24" s="9"/>
      <c r="C24" s="9"/>
      <c r="D24" s="13"/>
      <c r="E24" s="12"/>
      <c r="F24" s="9"/>
      <c r="G24" s="13"/>
      <c r="H24" s="12"/>
      <c r="I24" s="9"/>
      <c r="J24" s="13"/>
      <c r="K24" s="12"/>
      <c r="L24" s="9"/>
      <c r="M24" s="9"/>
      <c r="O24" s="90" t="s">
        <v>76</v>
      </c>
      <c r="P24" s="90"/>
      <c r="Q24" s="90"/>
      <c r="R24" s="90"/>
      <c r="S24" s="90"/>
      <c r="T24" s="90"/>
    </row>
    <row r="25" spans="1:20" ht="18.75">
      <c r="A25" s="9" t="s">
        <v>101</v>
      </c>
      <c r="B25" s="9"/>
      <c r="C25" s="9"/>
      <c r="D25" s="13"/>
      <c r="E25" s="12"/>
      <c r="F25" s="9"/>
      <c r="G25" s="13"/>
      <c r="H25" s="12"/>
      <c r="I25" s="9"/>
      <c r="J25" s="13"/>
      <c r="K25" s="12"/>
      <c r="L25" s="9"/>
      <c r="M25" s="9"/>
      <c r="O25" s="65" t="s">
        <v>31</v>
      </c>
      <c r="P25" s="65"/>
      <c r="Q25" s="65"/>
      <c r="R25" s="65"/>
      <c r="S25" s="65"/>
      <c r="T25" s="65"/>
    </row>
    <row r="26" spans="1:20" ht="18.75">
      <c r="A26" s="9" t="s">
        <v>102</v>
      </c>
      <c r="B26" s="9"/>
      <c r="C26" s="9"/>
      <c r="D26" s="13"/>
      <c r="E26" s="12"/>
      <c r="F26" s="9"/>
      <c r="G26" s="13"/>
      <c r="H26" s="12"/>
      <c r="I26" s="9"/>
      <c r="J26" s="13"/>
      <c r="K26" s="12"/>
      <c r="L26" s="9"/>
      <c r="M26" s="9"/>
      <c r="O26" s="65" t="s">
        <v>31</v>
      </c>
      <c r="P26" s="65"/>
      <c r="Q26" s="65"/>
      <c r="R26" s="65"/>
      <c r="S26" s="65"/>
      <c r="T26" s="65"/>
    </row>
    <row r="27" spans="1:20" ht="18.75">
      <c r="A27" s="9" t="s">
        <v>103</v>
      </c>
      <c r="B27" s="9"/>
      <c r="C27" s="9"/>
      <c r="D27" s="13"/>
      <c r="E27" s="12"/>
      <c r="F27" s="9"/>
      <c r="G27" s="13"/>
      <c r="H27" s="12"/>
      <c r="I27" s="9"/>
      <c r="J27" s="13"/>
      <c r="K27" s="12"/>
      <c r="L27" s="9"/>
      <c r="M27" s="9"/>
      <c r="O27" s="65" t="s">
        <v>31</v>
      </c>
      <c r="P27" s="65"/>
      <c r="Q27" s="65"/>
      <c r="R27" s="65"/>
      <c r="S27" s="65"/>
      <c r="T27" s="65"/>
    </row>
    <row r="28" spans="1:20" ht="18.75">
      <c r="A28" s="9" t="s">
        <v>104</v>
      </c>
      <c r="B28" s="9"/>
      <c r="C28" s="9"/>
      <c r="D28" s="13"/>
      <c r="E28" s="12"/>
      <c r="F28" s="9"/>
      <c r="G28" s="13"/>
      <c r="H28" s="12"/>
      <c r="I28" s="9"/>
      <c r="J28" s="13"/>
      <c r="K28" s="12"/>
      <c r="L28" s="9"/>
      <c r="M28" s="9"/>
      <c r="O28" s="20"/>
      <c r="P28" s="20"/>
      <c r="Q28" s="20"/>
      <c r="R28" s="20"/>
      <c r="S28" s="20"/>
      <c r="T28" s="20"/>
    </row>
    <row r="29" spans="1:20" ht="18.75">
      <c r="A29" s="9" t="s">
        <v>105</v>
      </c>
      <c r="B29" s="9"/>
      <c r="C29" s="9"/>
      <c r="D29" s="13"/>
      <c r="E29" s="12"/>
      <c r="F29" s="9"/>
      <c r="G29" s="13"/>
      <c r="H29" s="12"/>
      <c r="I29" s="9"/>
      <c r="J29" s="13"/>
      <c r="K29" s="12"/>
      <c r="L29" s="9"/>
      <c r="M29" s="9"/>
      <c r="O29" s="91" t="s">
        <v>106</v>
      </c>
      <c r="P29" s="91"/>
      <c r="Q29" s="91"/>
      <c r="R29" s="91"/>
      <c r="S29" s="91"/>
      <c r="T29" s="91"/>
    </row>
    <row r="30" spans="1:20" ht="18.7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O30" s="20"/>
      <c r="P30" s="20"/>
      <c r="Q30" s="20"/>
      <c r="R30" s="20"/>
      <c r="S30" s="20"/>
      <c r="T30" s="20"/>
    </row>
  </sheetData>
  <mergeCells count="29">
    <mergeCell ref="O24:T24"/>
    <mergeCell ref="O25:T25"/>
    <mergeCell ref="O26:T26"/>
    <mergeCell ref="O27:T27"/>
    <mergeCell ref="O29:T29"/>
    <mergeCell ref="O22:T22"/>
    <mergeCell ref="A16:A17"/>
    <mergeCell ref="B16:D16"/>
    <mergeCell ref="E16:G16"/>
    <mergeCell ref="H16:J16"/>
    <mergeCell ref="K16:K17"/>
    <mergeCell ref="L16:L17"/>
    <mergeCell ref="M16:M17"/>
    <mergeCell ref="O16:T16"/>
    <mergeCell ref="O17:T17"/>
    <mergeCell ref="O18:T18"/>
    <mergeCell ref="O19:P19"/>
    <mergeCell ref="A14:T14"/>
    <mergeCell ref="A3:R3"/>
    <mergeCell ref="S3:T7"/>
    <mergeCell ref="A4:R4"/>
    <mergeCell ref="A5:R5"/>
    <mergeCell ref="A6:R6"/>
    <mergeCell ref="A7:R7"/>
    <mergeCell ref="A9:T9"/>
    <mergeCell ref="A10:T10"/>
    <mergeCell ref="A11:T11"/>
    <mergeCell ref="A12:T12"/>
    <mergeCell ref="A13:T13"/>
  </mergeCells>
  <pageMargins left="0.25" right="0.25" top="0.75" bottom="0.75" header="0.3" footer="0.3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selection activeCell="L39" sqref="L39"/>
    </sheetView>
  </sheetViews>
  <sheetFormatPr defaultRowHeight="15.75"/>
  <cols>
    <col min="1" max="1" width="15.375" style="2" customWidth="1"/>
    <col min="2" max="2" width="5.5" style="2" customWidth="1"/>
    <col min="3" max="3" width="4.875" style="2" customWidth="1"/>
    <col min="4" max="4" width="4.75" style="2" customWidth="1"/>
    <col min="5" max="5" width="5.5" style="2" customWidth="1"/>
    <col min="6" max="7" width="5.125" style="2" customWidth="1"/>
    <col min="8" max="8" width="5.75" style="2" customWidth="1"/>
    <col min="9" max="9" width="5.5" style="2" customWidth="1"/>
    <col min="10" max="12" width="5.25" style="2" customWidth="1"/>
    <col min="13" max="13" width="5.625" style="2" customWidth="1"/>
    <col min="14" max="20" width="9" style="2"/>
  </cols>
  <sheetData>
    <row r="1" spans="1:21" ht="18.75">
      <c r="A1" s="3"/>
      <c r="B1" s="3"/>
      <c r="C1" s="3"/>
      <c r="D1" s="3"/>
      <c r="E1" s="3"/>
      <c r="F1" s="3"/>
      <c r="G1" s="3"/>
      <c r="H1" s="3"/>
      <c r="I1" s="3"/>
      <c r="J1" s="3"/>
    </row>
    <row r="2" spans="1:21" ht="19.5" thickBot="1">
      <c r="A2" s="3"/>
      <c r="B2" s="3"/>
      <c r="C2" s="3"/>
      <c r="D2" s="3"/>
      <c r="E2" s="3"/>
      <c r="F2" s="3"/>
      <c r="G2" s="3"/>
      <c r="H2" s="3"/>
      <c r="I2" s="3"/>
      <c r="J2" s="5"/>
      <c r="K2" s="61"/>
      <c r="L2" s="61"/>
      <c r="M2" s="62"/>
    </row>
    <row r="3" spans="1:21" ht="18.7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92" t="s">
        <v>32</v>
      </c>
      <c r="T3" s="93"/>
    </row>
    <row r="4" spans="1:21" ht="18.7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94"/>
      <c r="T4" s="95"/>
    </row>
    <row r="5" spans="1:21" ht="18.75">
      <c r="A5" s="67" t="s">
        <v>2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94"/>
      <c r="T5" s="95"/>
    </row>
    <row r="6" spans="1:21" ht="18.75">
      <c r="A6" s="82" t="s">
        <v>121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67"/>
      <c r="S6" s="94"/>
      <c r="T6" s="95"/>
    </row>
    <row r="7" spans="1:21" ht="19.5" thickBot="1">
      <c r="A7" s="67" t="s">
        <v>39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9"/>
      <c r="S7" s="96"/>
      <c r="T7" s="97"/>
    </row>
    <row r="8" spans="1:21" ht="18.75">
      <c r="A8" s="56"/>
      <c r="B8" s="56"/>
      <c r="C8" s="56"/>
      <c r="D8" s="56"/>
      <c r="E8" s="56"/>
      <c r="F8" s="56"/>
      <c r="G8" s="56"/>
      <c r="H8" s="56"/>
      <c r="I8" s="15"/>
      <c r="J8" s="15"/>
      <c r="K8" s="15"/>
      <c r="L8" s="15"/>
      <c r="M8" s="56"/>
      <c r="N8" s="56"/>
      <c r="O8" s="56"/>
      <c r="P8" s="56"/>
      <c r="Q8" s="56"/>
      <c r="R8" s="56"/>
      <c r="S8" s="108" t="s">
        <v>124</v>
      </c>
      <c r="T8" s="108"/>
      <c r="U8" s="16"/>
    </row>
    <row r="9" spans="1:21" ht="18.75">
      <c r="A9" s="56"/>
      <c r="B9" s="56"/>
      <c r="C9" s="56"/>
      <c r="D9" s="56"/>
      <c r="E9" s="56"/>
      <c r="F9" s="56"/>
      <c r="G9" s="56"/>
      <c r="H9" s="17"/>
      <c r="I9" s="117" t="s">
        <v>48</v>
      </c>
      <c r="J9" s="118"/>
      <c r="K9" s="118"/>
      <c r="L9" s="119"/>
      <c r="M9" s="78"/>
      <c r="N9" s="120"/>
      <c r="O9" s="120"/>
      <c r="P9" s="120"/>
      <c r="Q9" s="120"/>
      <c r="R9" s="120"/>
      <c r="S9" s="120"/>
      <c r="T9" s="121"/>
      <c r="U9" s="16"/>
    </row>
    <row r="10" spans="1:21" ht="18.75">
      <c r="A10" s="122" t="s">
        <v>41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</row>
    <row r="11" spans="1:21" ht="18.75">
      <c r="A11" s="122" t="s">
        <v>40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</row>
    <row r="12" spans="1:21" ht="18.75">
      <c r="A12" s="122" t="s">
        <v>42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</row>
    <row r="13" spans="1:21" ht="18.75">
      <c r="A13" s="122" t="s">
        <v>43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</row>
    <row r="14" spans="1:21" s="57" customFormat="1" ht="18.7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</row>
    <row r="15" spans="1:21" s="2" customFormat="1">
      <c r="A15" s="100" t="s">
        <v>4</v>
      </c>
      <c r="B15" s="102" t="s">
        <v>5</v>
      </c>
      <c r="C15" s="103"/>
      <c r="D15" s="104"/>
      <c r="E15" s="103" t="s">
        <v>35</v>
      </c>
      <c r="F15" s="103"/>
      <c r="G15" s="104"/>
      <c r="H15" s="103" t="s">
        <v>35</v>
      </c>
      <c r="I15" s="103"/>
      <c r="J15" s="104"/>
      <c r="K15" s="105" t="s">
        <v>9</v>
      </c>
      <c r="L15" s="107" t="s">
        <v>10</v>
      </c>
      <c r="M15" s="107" t="s">
        <v>11</v>
      </c>
      <c r="N15" s="59"/>
      <c r="O15" s="91" t="s">
        <v>123</v>
      </c>
      <c r="P15" s="91"/>
      <c r="Q15" s="91"/>
      <c r="R15" s="91"/>
      <c r="S15" s="91"/>
      <c r="T15" s="91"/>
    </row>
    <row r="16" spans="1:21" s="2" customFormat="1">
      <c r="A16" s="101"/>
      <c r="B16" s="38" t="s">
        <v>6</v>
      </c>
      <c r="C16" s="38" t="s">
        <v>7</v>
      </c>
      <c r="D16" s="39" t="s">
        <v>8</v>
      </c>
      <c r="E16" s="40" t="s">
        <v>6</v>
      </c>
      <c r="F16" s="38" t="s">
        <v>7</v>
      </c>
      <c r="G16" s="39" t="s">
        <v>8</v>
      </c>
      <c r="H16" s="40" t="s">
        <v>6</v>
      </c>
      <c r="I16" s="38" t="s">
        <v>7</v>
      </c>
      <c r="J16" s="39" t="s">
        <v>8</v>
      </c>
      <c r="K16" s="106"/>
      <c r="L16" s="108"/>
      <c r="M16" s="108"/>
      <c r="N16" s="59"/>
      <c r="O16" s="91" t="s">
        <v>31</v>
      </c>
      <c r="P16" s="91"/>
      <c r="Q16" s="91"/>
      <c r="R16" s="91"/>
      <c r="S16" s="91"/>
      <c r="T16" s="91"/>
    </row>
    <row r="17" spans="1:20" s="2" customFormat="1">
      <c r="A17" s="38" t="s">
        <v>12</v>
      </c>
      <c r="B17" s="38"/>
      <c r="C17" s="38"/>
      <c r="D17" s="39"/>
      <c r="E17" s="40"/>
      <c r="F17" s="38"/>
      <c r="G17" s="39"/>
      <c r="H17" s="40"/>
      <c r="I17" s="38"/>
      <c r="J17" s="39"/>
      <c r="K17" s="40"/>
      <c r="L17" s="38"/>
      <c r="M17" s="38"/>
      <c r="N17" s="59"/>
      <c r="O17" s="91" t="s">
        <v>31</v>
      </c>
      <c r="P17" s="91"/>
      <c r="Q17" s="91"/>
      <c r="R17" s="91"/>
      <c r="S17" s="91"/>
      <c r="T17" s="91"/>
    </row>
    <row r="18" spans="1:20" s="2" customFormat="1">
      <c r="A18" s="38" t="s">
        <v>13</v>
      </c>
      <c r="B18" s="38"/>
      <c r="C18" s="38"/>
      <c r="D18" s="39"/>
      <c r="E18" s="40"/>
      <c r="F18" s="38"/>
      <c r="G18" s="39"/>
      <c r="H18" s="40"/>
      <c r="I18" s="38"/>
      <c r="J18" s="39"/>
      <c r="K18" s="40"/>
      <c r="L18" s="38"/>
      <c r="M18" s="38"/>
      <c r="N18" s="59"/>
      <c r="O18" s="91"/>
      <c r="P18" s="91"/>
      <c r="Q18" s="59"/>
      <c r="R18" s="59"/>
      <c r="S18" s="59"/>
      <c r="T18" s="59"/>
    </row>
    <row r="19" spans="1:20" s="2" customFormat="1">
      <c r="A19" s="38" t="s">
        <v>14</v>
      </c>
      <c r="B19" s="38"/>
      <c r="C19" s="38"/>
      <c r="D19" s="39"/>
      <c r="E19" s="40"/>
      <c r="F19" s="38"/>
      <c r="G19" s="39"/>
      <c r="H19" s="40"/>
      <c r="I19" s="38"/>
      <c r="J19" s="39"/>
      <c r="K19" s="40"/>
      <c r="L19" s="38"/>
      <c r="M19" s="38"/>
      <c r="N19" s="59"/>
      <c r="O19" s="91" t="s">
        <v>28</v>
      </c>
      <c r="P19" s="91"/>
      <c r="Q19" s="91"/>
      <c r="R19" s="91"/>
      <c r="S19" s="91"/>
      <c r="T19" s="91"/>
    </row>
    <row r="20" spans="1:20" s="2" customFormat="1">
      <c r="A20" s="38" t="s">
        <v>15</v>
      </c>
      <c r="B20" s="38"/>
      <c r="C20" s="38"/>
      <c r="D20" s="39"/>
      <c r="E20" s="40"/>
      <c r="F20" s="38"/>
      <c r="G20" s="39"/>
      <c r="H20" s="40"/>
      <c r="I20" s="38"/>
      <c r="J20" s="39"/>
      <c r="K20" s="40"/>
      <c r="L20" s="38"/>
      <c r="M20" s="38"/>
      <c r="N20" s="59"/>
      <c r="O20" s="59"/>
      <c r="P20" s="59"/>
      <c r="Q20" s="59"/>
      <c r="R20" s="59"/>
      <c r="S20" s="59"/>
      <c r="T20" s="59"/>
    </row>
    <row r="21" spans="1:20" s="2" customFormat="1">
      <c r="A21" s="38" t="s">
        <v>16</v>
      </c>
      <c r="B21" s="38"/>
      <c r="C21" s="38"/>
      <c r="D21" s="39"/>
      <c r="E21" s="40"/>
      <c r="F21" s="38"/>
      <c r="G21" s="39"/>
      <c r="H21" s="40"/>
      <c r="I21" s="38"/>
      <c r="J21" s="39"/>
      <c r="K21" s="40"/>
      <c r="L21" s="38"/>
      <c r="M21" s="38"/>
      <c r="N21" s="59"/>
      <c r="O21" s="90" t="s">
        <v>44</v>
      </c>
      <c r="P21" s="90"/>
      <c r="Q21" s="90"/>
      <c r="R21" s="90"/>
      <c r="S21" s="90"/>
      <c r="T21" s="90"/>
    </row>
    <row r="22" spans="1:20" s="2" customFormat="1">
      <c r="A22" s="38" t="s">
        <v>17</v>
      </c>
      <c r="B22" s="38"/>
      <c r="C22" s="38"/>
      <c r="D22" s="39"/>
      <c r="E22" s="40"/>
      <c r="F22" s="38"/>
      <c r="G22" s="39"/>
      <c r="H22" s="40"/>
      <c r="I22" s="38"/>
      <c r="J22" s="39"/>
      <c r="K22" s="40"/>
      <c r="L22" s="38"/>
      <c r="M22" s="38"/>
      <c r="N22" s="59"/>
      <c r="O22" s="91" t="s">
        <v>30</v>
      </c>
      <c r="P22" s="91"/>
      <c r="Q22" s="91"/>
      <c r="R22" s="91"/>
      <c r="S22" s="91"/>
      <c r="T22" s="91"/>
    </row>
    <row r="23" spans="1:20" s="2" customFormat="1">
      <c r="A23" s="38" t="s">
        <v>18</v>
      </c>
      <c r="B23" s="38"/>
      <c r="C23" s="38"/>
      <c r="D23" s="39"/>
      <c r="E23" s="40"/>
      <c r="F23" s="38"/>
      <c r="G23" s="39"/>
      <c r="H23" s="40"/>
      <c r="I23" s="38"/>
      <c r="J23" s="39"/>
      <c r="K23" s="40"/>
      <c r="L23" s="38"/>
      <c r="M23" s="38"/>
      <c r="N23" s="59"/>
      <c r="O23" s="91" t="s">
        <v>30</v>
      </c>
      <c r="P23" s="91"/>
      <c r="Q23" s="91"/>
      <c r="R23" s="91"/>
      <c r="S23" s="91"/>
      <c r="T23" s="91"/>
    </row>
    <row r="24" spans="1:20" s="2" customFormat="1">
      <c r="A24" s="38" t="s">
        <v>19</v>
      </c>
      <c r="B24" s="38"/>
      <c r="C24" s="38"/>
      <c r="D24" s="39"/>
      <c r="E24" s="40"/>
      <c r="F24" s="38"/>
      <c r="G24" s="39"/>
      <c r="H24" s="40"/>
      <c r="I24" s="38"/>
      <c r="J24" s="39"/>
      <c r="K24" s="40"/>
      <c r="L24" s="38"/>
      <c r="M24" s="38"/>
      <c r="N24" s="59"/>
      <c r="O24" s="91" t="s">
        <v>30</v>
      </c>
      <c r="P24" s="91"/>
      <c r="Q24" s="91"/>
      <c r="R24" s="91"/>
      <c r="S24" s="91"/>
      <c r="T24" s="91"/>
    </row>
    <row r="25" spans="1:20" s="2" customFormat="1">
      <c r="A25" s="38" t="s">
        <v>20</v>
      </c>
      <c r="B25" s="38"/>
      <c r="C25" s="38"/>
      <c r="D25" s="39"/>
      <c r="E25" s="40"/>
      <c r="F25" s="38"/>
      <c r="G25" s="39"/>
      <c r="H25" s="40"/>
      <c r="I25" s="38"/>
      <c r="J25" s="39"/>
      <c r="K25" s="40"/>
      <c r="L25" s="38"/>
      <c r="M25" s="38"/>
      <c r="N25" s="59"/>
      <c r="O25" s="91" t="s">
        <v>31</v>
      </c>
      <c r="P25" s="91"/>
      <c r="Q25" s="91"/>
      <c r="R25" s="91"/>
      <c r="S25" s="91"/>
      <c r="T25" s="91"/>
    </row>
    <row r="26" spans="1:20" s="2" customFormat="1">
      <c r="A26" s="38" t="s">
        <v>22</v>
      </c>
      <c r="B26" s="38"/>
      <c r="C26" s="38"/>
      <c r="D26" s="39"/>
      <c r="E26" s="40"/>
      <c r="F26" s="38"/>
      <c r="G26" s="39"/>
      <c r="H26" s="40"/>
      <c r="I26" s="38"/>
      <c r="J26" s="39"/>
      <c r="K26" s="40"/>
      <c r="L26" s="38"/>
      <c r="M26" s="38"/>
      <c r="N26" s="59"/>
      <c r="O26" s="60"/>
      <c r="P26" s="60"/>
      <c r="Q26" s="60"/>
      <c r="R26" s="60"/>
      <c r="S26" s="60"/>
      <c r="T26" s="60"/>
    </row>
    <row r="27" spans="1:20" s="2" customFormat="1">
      <c r="A27" s="38" t="s">
        <v>21</v>
      </c>
      <c r="B27" s="38"/>
      <c r="C27" s="38"/>
      <c r="D27" s="39"/>
      <c r="E27" s="40"/>
      <c r="F27" s="38"/>
      <c r="G27" s="39"/>
      <c r="H27" s="40"/>
      <c r="I27" s="38"/>
      <c r="J27" s="39"/>
      <c r="K27" s="40"/>
      <c r="L27" s="38"/>
      <c r="M27" s="38"/>
      <c r="N27" s="59"/>
      <c r="O27" s="59"/>
      <c r="P27" s="59"/>
      <c r="Q27" s="59"/>
      <c r="R27" s="59"/>
      <c r="S27" s="59"/>
      <c r="T27" s="59"/>
    </row>
    <row r="28" spans="1:20" s="2" customFormat="1">
      <c r="A28" s="38" t="s">
        <v>23</v>
      </c>
      <c r="B28" s="38"/>
      <c r="C28" s="38"/>
      <c r="D28" s="39"/>
      <c r="E28" s="40"/>
      <c r="F28" s="38"/>
      <c r="G28" s="39"/>
      <c r="H28" s="40"/>
      <c r="I28" s="38"/>
      <c r="J28" s="39"/>
      <c r="K28" s="40"/>
      <c r="L28" s="38"/>
      <c r="M28" s="38"/>
      <c r="N28" s="59"/>
      <c r="O28" s="91" t="s">
        <v>122</v>
      </c>
      <c r="P28" s="91"/>
      <c r="Q28" s="91"/>
      <c r="R28" s="91"/>
      <c r="S28" s="91"/>
      <c r="T28" s="91"/>
    </row>
    <row r="29" spans="1:20" s="2" customFormat="1">
      <c r="A29" s="38" t="s">
        <v>38</v>
      </c>
      <c r="B29" s="38"/>
      <c r="C29" s="38"/>
      <c r="D29" s="39"/>
      <c r="E29" s="40"/>
      <c r="F29" s="38"/>
      <c r="G29" s="39"/>
      <c r="H29" s="40"/>
      <c r="I29" s="38"/>
      <c r="J29" s="39"/>
      <c r="K29" s="40"/>
      <c r="L29" s="38"/>
      <c r="M29" s="38"/>
      <c r="N29" s="59"/>
      <c r="O29" s="59"/>
      <c r="P29" s="59"/>
      <c r="Q29" s="59"/>
      <c r="R29" s="59"/>
      <c r="S29" s="59"/>
      <c r="T29" s="59"/>
    </row>
    <row r="30" spans="1:20" s="2" customFormat="1">
      <c r="A30" s="114" t="s">
        <v>37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59"/>
      <c r="O30" s="59"/>
      <c r="P30" s="59"/>
      <c r="Q30" s="59"/>
      <c r="R30" s="59"/>
      <c r="S30" s="59"/>
      <c r="T30" s="59"/>
    </row>
    <row r="31" spans="1:20" s="2" customFormat="1">
      <c r="A31" s="112" t="s">
        <v>45</v>
      </c>
      <c r="B31" s="113"/>
      <c r="C31" s="113"/>
      <c r="D31" s="113"/>
      <c r="E31" s="113"/>
      <c r="F31" s="113"/>
      <c r="G31" s="113"/>
      <c r="H31" s="113"/>
      <c r="I31" s="113"/>
      <c r="N31" s="59"/>
      <c r="O31" s="59"/>
      <c r="P31" s="59"/>
      <c r="Q31" s="59"/>
      <c r="R31" s="59"/>
      <c r="S31" s="59"/>
      <c r="T31" s="59"/>
    </row>
    <row r="32" spans="1:20" s="2" customFormat="1">
      <c r="A32" s="109" t="s">
        <v>46</v>
      </c>
      <c r="B32" s="109"/>
      <c r="C32" s="109"/>
      <c r="D32" s="109"/>
      <c r="E32" s="109"/>
      <c r="F32" s="109"/>
      <c r="G32" s="109"/>
      <c r="H32" s="109"/>
      <c r="I32" s="109"/>
    </row>
    <row r="33" spans="1:9" s="2" customFormat="1">
      <c r="A33" s="110" t="s">
        <v>47</v>
      </c>
      <c r="B33" s="111"/>
      <c r="C33" s="111"/>
      <c r="D33" s="111"/>
      <c r="E33" s="111"/>
      <c r="F33" s="111"/>
      <c r="G33" s="111"/>
      <c r="H33" s="111"/>
      <c r="I33" s="111"/>
    </row>
  </sheetData>
  <mergeCells count="35">
    <mergeCell ref="A32:I32"/>
    <mergeCell ref="A33:I33"/>
    <mergeCell ref="A31:I31"/>
    <mergeCell ref="A30:M30"/>
    <mergeCell ref="S8:T8"/>
    <mergeCell ref="I9:L9"/>
    <mergeCell ref="M9:T9"/>
    <mergeCell ref="A10:T10"/>
    <mergeCell ref="A11:T11"/>
    <mergeCell ref="A12:T12"/>
    <mergeCell ref="A13:T13"/>
    <mergeCell ref="O28:T28"/>
    <mergeCell ref="O19:T19"/>
    <mergeCell ref="O21:T21"/>
    <mergeCell ref="O22:T22"/>
    <mergeCell ref="O23:T23"/>
    <mergeCell ref="O24:T24"/>
    <mergeCell ref="O25:T25"/>
    <mergeCell ref="L15:L16"/>
    <mergeCell ref="M15:M16"/>
    <mergeCell ref="O15:T15"/>
    <mergeCell ref="O16:T16"/>
    <mergeCell ref="O17:T17"/>
    <mergeCell ref="O18:P18"/>
    <mergeCell ref="A15:A16"/>
    <mergeCell ref="B15:D15"/>
    <mergeCell ref="E15:G15"/>
    <mergeCell ref="H15:J15"/>
    <mergeCell ref="K15:K16"/>
    <mergeCell ref="A3:R3"/>
    <mergeCell ref="S3:T7"/>
    <mergeCell ref="A4:R4"/>
    <mergeCell ref="A5:R5"/>
    <mergeCell ref="A7:R7"/>
    <mergeCell ref="A6:R6"/>
  </mergeCells>
  <pageMargins left="0.7" right="0.7" top="0.75" bottom="0.75" header="0.3" footer="0.3"/>
  <pageSetup paperSize="9" scale="8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5"/>
  <sheetViews>
    <sheetView view="pageBreakPreview" zoomScale="55" zoomScaleNormal="55" zoomScaleSheetLayoutView="55" workbookViewId="0">
      <selection activeCell="J16" sqref="J16:O16"/>
    </sheetView>
  </sheetViews>
  <sheetFormatPr defaultRowHeight="15.75"/>
  <cols>
    <col min="1" max="1" width="27.25" customWidth="1"/>
    <col min="2" max="3" width="9.5" customWidth="1"/>
    <col min="4" max="4" width="9.75" customWidth="1"/>
    <col min="5" max="5" width="13.75" customWidth="1"/>
    <col min="6" max="6" width="18.625" customWidth="1"/>
    <col min="7" max="7" width="13.875" customWidth="1"/>
    <col min="8" max="8" width="18.75" customWidth="1"/>
    <col min="9" max="9" width="14.5" customWidth="1"/>
    <col min="12" max="12" width="13.125" customWidth="1"/>
    <col min="13" max="13" width="10.25" customWidth="1"/>
    <col min="14" max="14" width="12.125" customWidth="1"/>
    <col min="15" max="15" width="13.875" customWidth="1"/>
  </cols>
  <sheetData>
    <row r="1" spans="1:15" ht="21.75" thickBot="1">
      <c r="A1" s="26"/>
      <c r="B1" s="26"/>
      <c r="C1" s="26"/>
      <c r="D1" s="26"/>
      <c r="E1" s="26"/>
      <c r="F1" s="26"/>
      <c r="G1" s="26"/>
      <c r="H1" s="26"/>
      <c r="I1" s="26"/>
      <c r="J1" s="27"/>
      <c r="K1" s="27"/>
      <c r="L1" s="27"/>
      <c r="M1" s="27"/>
      <c r="N1" s="27"/>
      <c r="O1" s="27"/>
    </row>
    <row r="2" spans="1:15" ht="20.25">
      <c r="A2" s="144" t="s">
        <v>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 t="s">
        <v>32</v>
      </c>
      <c r="O2" s="146"/>
    </row>
    <row r="3" spans="1:15" ht="20.25">
      <c r="A3" s="144" t="s">
        <v>1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7"/>
      <c r="O3" s="148"/>
    </row>
    <row r="4" spans="1:15" ht="16.899999999999999" customHeight="1">
      <c r="A4" s="144" t="s">
        <v>2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7"/>
      <c r="O4" s="148"/>
    </row>
    <row r="5" spans="1:15" ht="31.15" customHeight="1">
      <c r="A5" s="128" t="s">
        <v>59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51"/>
      <c r="N5" s="147"/>
      <c r="O5" s="148"/>
    </row>
    <row r="6" spans="1:15" ht="24.6" customHeight="1" thickBot="1">
      <c r="A6" s="144" t="s">
        <v>39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3"/>
      <c r="N6" s="149"/>
      <c r="O6" s="150"/>
    </row>
    <row r="7" spans="1:15" ht="28.9" customHeight="1">
      <c r="A7" s="28"/>
      <c r="B7" s="28"/>
      <c r="C7" s="28"/>
      <c r="D7" s="28"/>
      <c r="E7" s="28"/>
      <c r="F7" s="129" t="s">
        <v>48</v>
      </c>
      <c r="G7" s="130"/>
      <c r="H7" s="131"/>
      <c r="I7" s="131"/>
      <c r="J7" s="131"/>
      <c r="K7" s="131"/>
      <c r="L7" s="131"/>
      <c r="M7" s="131"/>
      <c r="N7" s="132"/>
      <c r="O7" s="132"/>
    </row>
    <row r="8" spans="1:15" ht="31.15" customHeight="1">
      <c r="A8" s="142" t="s">
        <v>119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</row>
    <row r="9" spans="1:15" ht="29.45" customHeight="1">
      <c r="A9" s="142" t="s">
        <v>120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</row>
    <row r="10" spans="1:15" ht="30" customHeight="1">
      <c r="A10" s="142" t="s">
        <v>42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</row>
    <row r="11" spans="1:15" ht="29.45" customHeight="1">
      <c r="A11" s="142" t="s">
        <v>57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</row>
    <row r="12" spans="1:15" s="14" customFormat="1" ht="2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20.25">
      <c r="A13" s="30" t="s">
        <v>49</v>
      </c>
      <c r="B13" s="31" t="s">
        <v>50</v>
      </c>
      <c r="C13" s="31" t="s">
        <v>51</v>
      </c>
      <c r="D13" s="31" t="s">
        <v>52</v>
      </c>
      <c r="E13" s="32" t="s">
        <v>53</v>
      </c>
      <c r="F13" s="31" t="s">
        <v>54</v>
      </c>
      <c r="G13" s="32" t="s">
        <v>53</v>
      </c>
      <c r="H13" s="31" t="s">
        <v>55</v>
      </c>
      <c r="I13" s="32" t="s">
        <v>53</v>
      </c>
      <c r="J13" s="143" t="s">
        <v>56</v>
      </c>
      <c r="K13" s="123"/>
      <c r="L13" s="123"/>
      <c r="M13" s="123"/>
      <c r="N13" s="123"/>
      <c r="O13" s="123"/>
    </row>
    <row r="14" spans="1:15" ht="25.15" customHeight="1">
      <c r="A14" s="31" t="s">
        <v>114</v>
      </c>
      <c r="B14" s="31"/>
      <c r="C14" s="31"/>
      <c r="D14" s="31"/>
      <c r="E14" s="32"/>
      <c r="F14" s="31"/>
      <c r="G14" s="31"/>
      <c r="H14" s="32"/>
      <c r="I14" s="31"/>
      <c r="J14" s="128" t="s">
        <v>60</v>
      </c>
      <c r="K14" s="128"/>
      <c r="L14" s="128"/>
      <c r="M14" s="128"/>
      <c r="N14" s="128"/>
      <c r="O14" s="128"/>
    </row>
    <row r="15" spans="1:15" ht="26.45" customHeight="1">
      <c r="A15" s="31" t="s">
        <v>99</v>
      </c>
      <c r="B15" s="31"/>
      <c r="C15" s="31"/>
      <c r="D15" s="31"/>
      <c r="E15" s="32"/>
      <c r="F15" s="31"/>
      <c r="G15" s="31"/>
      <c r="H15" s="32"/>
      <c r="I15" s="31"/>
      <c r="J15" s="128" t="s">
        <v>60</v>
      </c>
      <c r="K15" s="128"/>
      <c r="L15" s="128"/>
      <c r="M15" s="128"/>
      <c r="N15" s="128"/>
      <c r="O15" s="128"/>
    </row>
    <row r="16" spans="1:15" ht="24" customHeight="1">
      <c r="A16" s="31" t="s">
        <v>115</v>
      </c>
      <c r="B16" s="31"/>
      <c r="C16" s="31"/>
      <c r="D16" s="31"/>
      <c r="E16" s="32"/>
      <c r="F16" s="31"/>
      <c r="G16" s="31"/>
      <c r="H16" s="32"/>
      <c r="I16" s="31"/>
      <c r="J16" s="127"/>
      <c r="K16" s="127"/>
      <c r="L16" s="127"/>
      <c r="M16" s="127"/>
      <c r="N16" s="127"/>
      <c r="O16" s="127"/>
    </row>
    <row r="17" spans="1:15" ht="25.15" customHeight="1">
      <c r="A17" s="31" t="s">
        <v>104</v>
      </c>
      <c r="B17" s="31"/>
      <c r="C17" s="31"/>
      <c r="D17" s="31"/>
      <c r="E17" s="32"/>
      <c r="F17" s="31"/>
      <c r="G17" s="31"/>
      <c r="H17" s="32"/>
      <c r="I17" s="31"/>
      <c r="J17" s="33"/>
      <c r="K17" s="34"/>
      <c r="L17" s="33"/>
      <c r="M17" s="33"/>
      <c r="N17" s="33"/>
      <c r="O17" s="33"/>
    </row>
    <row r="18" spans="1:15" ht="24.6" customHeight="1">
      <c r="A18" s="31" t="s">
        <v>116</v>
      </c>
      <c r="B18" s="31"/>
      <c r="C18" s="31"/>
      <c r="D18" s="31"/>
      <c r="E18" s="32"/>
      <c r="F18" s="31"/>
      <c r="G18" s="31"/>
      <c r="H18" s="32"/>
      <c r="I18" s="31"/>
      <c r="J18" s="140" t="s">
        <v>44</v>
      </c>
      <c r="K18" s="141"/>
      <c r="L18" s="141"/>
      <c r="M18" s="141"/>
      <c r="N18" s="141"/>
      <c r="O18" s="141"/>
    </row>
    <row r="19" spans="1:15" ht="25.15" customHeight="1">
      <c r="A19" s="31" t="s">
        <v>117</v>
      </c>
      <c r="B19" s="31"/>
      <c r="C19" s="31"/>
      <c r="D19" s="31"/>
      <c r="E19" s="32"/>
      <c r="F19" s="31"/>
      <c r="G19" s="31"/>
      <c r="H19" s="32"/>
      <c r="I19" s="31"/>
      <c r="J19" s="128" t="s">
        <v>60</v>
      </c>
      <c r="K19" s="128"/>
      <c r="L19" s="128"/>
      <c r="M19" s="128"/>
      <c r="N19" s="128"/>
      <c r="O19" s="128"/>
    </row>
    <row r="20" spans="1:15" ht="25.15" customHeight="1">
      <c r="A20" s="31" t="s">
        <v>118</v>
      </c>
      <c r="B20" s="31"/>
      <c r="C20" s="31"/>
      <c r="D20" s="31"/>
      <c r="E20" s="32"/>
      <c r="F20" s="31"/>
      <c r="G20" s="31"/>
      <c r="H20" s="32"/>
      <c r="I20" s="31"/>
      <c r="J20" s="128" t="s">
        <v>60</v>
      </c>
      <c r="K20" s="128"/>
      <c r="L20" s="128"/>
      <c r="M20" s="128"/>
      <c r="N20" s="128"/>
      <c r="O20" s="128"/>
    </row>
    <row r="21" spans="1:15" ht="27" customHeight="1">
      <c r="A21" s="31" t="s">
        <v>72</v>
      </c>
      <c r="B21" s="31"/>
      <c r="C21" s="31"/>
      <c r="D21" s="31"/>
      <c r="E21" s="32"/>
      <c r="F21" s="31"/>
      <c r="G21" s="31"/>
      <c r="H21" s="32"/>
      <c r="I21" s="31"/>
      <c r="J21" s="128" t="s">
        <v>60</v>
      </c>
      <c r="K21" s="128"/>
      <c r="L21" s="128"/>
      <c r="M21" s="128"/>
      <c r="N21" s="128"/>
      <c r="O21" s="128"/>
    </row>
    <row r="22" spans="1:15" ht="20.25">
      <c r="A22" s="133" t="s">
        <v>37</v>
      </c>
      <c r="B22" s="134"/>
      <c r="C22" s="134"/>
      <c r="D22" s="134"/>
      <c r="E22" s="134"/>
      <c r="F22" s="134"/>
      <c r="G22" s="134"/>
      <c r="H22" s="134"/>
      <c r="I22" s="134"/>
      <c r="J22" s="123" t="s">
        <v>58</v>
      </c>
      <c r="K22" s="123"/>
      <c r="L22" s="123"/>
      <c r="M22" s="123"/>
      <c r="N22" s="123"/>
      <c r="O22" s="123"/>
    </row>
    <row r="23" spans="1:15" ht="21">
      <c r="A23" s="135" t="s">
        <v>45</v>
      </c>
      <c r="B23" s="136"/>
      <c r="C23" s="136"/>
      <c r="D23" s="136"/>
      <c r="E23" s="136"/>
      <c r="F23" s="136"/>
      <c r="G23" s="136"/>
      <c r="H23" s="136"/>
      <c r="I23" s="137"/>
      <c r="J23" s="35"/>
      <c r="K23" s="35"/>
      <c r="L23" s="35"/>
      <c r="M23" s="35"/>
      <c r="N23" s="35"/>
      <c r="O23" s="35"/>
    </row>
    <row r="24" spans="1:15" ht="25.9" customHeight="1">
      <c r="A24" s="138" t="s">
        <v>46</v>
      </c>
      <c r="B24" s="138"/>
      <c r="C24" s="138"/>
      <c r="D24" s="138"/>
      <c r="E24" s="138"/>
      <c r="F24" s="138"/>
      <c r="G24" s="138"/>
      <c r="H24" s="138"/>
      <c r="I24" s="139"/>
      <c r="J24" s="27"/>
      <c r="K24" s="27"/>
      <c r="L24" s="27"/>
      <c r="M24" s="27"/>
      <c r="N24" s="27"/>
      <c r="O24" s="27"/>
    </row>
    <row r="25" spans="1:15" ht="21">
      <c r="A25" s="124" t="s">
        <v>47</v>
      </c>
      <c r="B25" s="125"/>
      <c r="C25" s="125"/>
      <c r="D25" s="125"/>
      <c r="E25" s="125"/>
      <c r="F25" s="125"/>
      <c r="G25" s="125"/>
      <c r="H25" s="125"/>
      <c r="I25" s="126"/>
      <c r="J25" s="27"/>
      <c r="K25" s="27"/>
      <c r="L25" s="27"/>
      <c r="M25" s="27"/>
      <c r="N25" s="27"/>
      <c r="O25" s="27"/>
    </row>
  </sheetData>
  <mergeCells count="25">
    <mergeCell ref="A8:O8"/>
    <mergeCell ref="A9:O9"/>
    <mergeCell ref="A10:O10"/>
    <mergeCell ref="A2:M2"/>
    <mergeCell ref="N2:O6"/>
    <mergeCell ref="A3:M3"/>
    <mergeCell ref="A4:M4"/>
    <mergeCell ref="A5:M5"/>
    <mergeCell ref="A6:M6"/>
    <mergeCell ref="J22:O22"/>
    <mergeCell ref="A25:I25"/>
    <mergeCell ref="J16:O16"/>
    <mergeCell ref="J15:O15"/>
    <mergeCell ref="F7:G7"/>
    <mergeCell ref="H7:O7"/>
    <mergeCell ref="J21:O21"/>
    <mergeCell ref="A22:I22"/>
    <mergeCell ref="A23:I23"/>
    <mergeCell ref="A24:I24"/>
    <mergeCell ref="J14:O14"/>
    <mergeCell ref="J18:O18"/>
    <mergeCell ref="J19:O19"/>
    <mergeCell ref="J20:O20"/>
    <mergeCell ref="A11:O11"/>
    <mergeCell ref="J13:O13"/>
  </mergeCells>
  <pageMargins left="1.1100000000000001" right="0.56999999999999995" top="0.72" bottom="1.56" header="0.28000000000000003" footer="0.67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2ª e 5ª Classe</vt:lpstr>
      <vt:lpstr>2ª e 5ª Classe (2)</vt:lpstr>
      <vt:lpstr>2ª e 5ª Classe (5)</vt:lpstr>
      <vt:lpstr>2ª e 5ª Classe (3)</vt:lpstr>
      <vt:lpstr>2ª e 5ª Classe (4)</vt:lpstr>
      <vt:lpstr>Termo da 7ª e 8ª Classe (2)</vt:lpstr>
      <vt:lpstr>Termo da 9ª Classe</vt:lpstr>
      <vt:lpstr>6ª Classe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mapa de aproveitamento</dc:creator>
  <cp:lastModifiedBy>KUDIHAKA</cp:lastModifiedBy>
  <cp:lastPrinted>2022-09-30T12:17:48Z</cp:lastPrinted>
  <dcterms:created xsi:type="dcterms:W3CDTF">2018-09-26T08:29:18Z</dcterms:created>
  <dcterms:modified xsi:type="dcterms:W3CDTF">2022-09-30T12:23:08Z</dcterms:modified>
</cp:coreProperties>
</file>