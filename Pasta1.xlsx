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 11\Desktop\ALBERTO\"/>
    </mc:Choice>
  </mc:AlternateContent>
  <bookViews>
    <workbookView xWindow="0" yWindow="0" windowWidth="1536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1" l="1"/>
  <c r="L5" i="1"/>
  <c r="L2" i="1"/>
  <c r="K6" i="1"/>
  <c r="K5" i="1"/>
  <c r="K2" i="1"/>
  <c r="J6" i="1"/>
  <c r="J5" i="1"/>
  <c r="J4" i="1"/>
  <c r="J3" i="1"/>
  <c r="J2" i="1"/>
  <c r="I5" i="1"/>
  <c r="I4" i="1"/>
  <c r="I3" i="1"/>
  <c r="I2" i="1"/>
  <c r="H6" i="1"/>
  <c r="H5" i="1"/>
  <c r="H4" i="1"/>
  <c r="K4" i="1" s="1"/>
  <c r="F6" i="1"/>
  <c r="F5" i="1"/>
  <c r="F4" i="1"/>
  <c r="L4" i="1" s="1"/>
  <c r="F3" i="1"/>
  <c r="H3" i="1" s="1"/>
  <c r="K3" i="1" s="1"/>
  <c r="L3" i="1" s="1"/>
  <c r="F2" i="1"/>
</calcChain>
</file>

<file path=xl/sharedStrings.xml><?xml version="1.0" encoding="utf-8"?>
<sst xmlns="http://schemas.openxmlformats.org/spreadsheetml/2006/main" count="23" uniqueCount="23">
  <si>
    <t xml:space="preserve">NOME </t>
  </si>
  <si>
    <t>JOSE PINTO</t>
  </si>
  <si>
    <t xml:space="preserve">FLAVIO MARTIS </t>
  </si>
  <si>
    <t xml:space="preserve">NOVATA GOMES </t>
  </si>
  <si>
    <t xml:space="preserve">WANDALA </t>
  </si>
  <si>
    <t xml:space="preserve">PANZO JOSE </t>
  </si>
  <si>
    <t xml:space="preserve">TOTALNGERAL </t>
  </si>
  <si>
    <t xml:space="preserve">FUNÇÃO </t>
  </si>
  <si>
    <t>DIRETOR GERAL</t>
  </si>
  <si>
    <t>DIRACTOR ADJ</t>
  </si>
  <si>
    <t xml:space="preserve">SECRETARIA </t>
  </si>
  <si>
    <t xml:space="preserve">CORDENADOR </t>
  </si>
  <si>
    <t xml:space="preserve">RECEPICIONISTA </t>
  </si>
  <si>
    <t>SW.ALIMENT</t>
  </si>
  <si>
    <t>DESC.TOTAL</t>
  </si>
  <si>
    <t>SALARIO LIQUIDO</t>
  </si>
  <si>
    <t>SALAR BASUC</t>
  </si>
  <si>
    <t>TRASPORTE</t>
  </si>
  <si>
    <t>SALAIO LIQ</t>
  </si>
  <si>
    <t xml:space="preserve">N FALTA </t>
  </si>
  <si>
    <t>DES FALTA</t>
  </si>
  <si>
    <t>ART2%</t>
  </si>
  <si>
    <t>S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</si>
</sst>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0" fillId="2" borderId="0" xfId="0" applyFill="1"/>
    <xf numFmtId="3" fontId="0" fillId="2" borderId="0" xfId="0" applyNumberFormat="1" applyFill="1"/>
    <xf numFmtId="2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topLeftCell="B1" workbookViewId="0">
      <selection activeCell="D5" sqref="D5"/>
    </sheetView>
  </sheetViews>
  <sheetFormatPr defaultRowHeight="15" x14ac:dyDescent="0.25"/>
  <cols>
    <col min="1" max="1" width="19.28515625" customWidth="1"/>
    <col min="2" max="2" width="14.7109375" customWidth="1"/>
    <col min="3" max="3" width="13.42578125" customWidth="1"/>
    <col min="4" max="4" width="14.7109375" customWidth="1"/>
    <col min="5" max="5" width="13.28515625" customWidth="1"/>
    <col min="6" max="6" width="11.5703125" customWidth="1"/>
    <col min="7" max="7" width="10.85546875" customWidth="1"/>
    <col min="8" max="8" width="9.7109375" customWidth="1"/>
    <col min="9" max="9" width="9.42578125" customWidth="1"/>
    <col min="10" max="10" width="8.85546875" customWidth="1"/>
    <col min="11" max="11" width="11.85546875" customWidth="1"/>
    <col min="12" max="12" width="14.7109375" customWidth="1"/>
  </cols>
  <sheetData>
    <row r="1" spans="1:13" x14ac:dyDescent="0.25">
      <c r="A1" t="s">
        <v>0</v>
      </c>
      <c r="B1" s="5" t="s">
        <v>7</v>
      </c>
      <c r="C1" s="5" t="s">
        <v>16</v>
      </c>
      <c r="D1" s="5" t="s">
        <v>13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14</v>
      </c>
      <c r="L1" s="5" t="s">
        <v>15</v>
      </c>
      <c r="M1" s="5"/>
    </row>
    <row r="2" spans="1:13" x14ac:dyDescent="0.25">
      <c r="A2" t="s">
        <v>1</v>
      </c>
      <c r="B2" s="2" t="s">
        <v>8</v>
      </c>
      <c r="C2" s="3">
        <v>50000</v>
      </c>
      <c r="D2" s="3">
        <v>13000</v>
      </c>
      <c r="E2" s="3">
        <v>15000</v>
      </c>
      <c r="F2" s="3">
        <f>SUM(C2+D2+E2)</f>
        <v>78000</v>
      </c>
      <c r="G2" s="3">
        <v>0</v>
      </c>
      <c r="H2" s="3">
        <v>0</v>
      </c>
      <c r="I2" s="2">
        <f>C2*2%</f>
        <v>1000</v>
      </c>
      <c r="J2" s="2">
        <f>C2*3%</f>
        <v>1500</v>
      </c>
      <c r="K2" s="3">
        <f>H2+I2+J2</f>
        <v>2500</v>
      </c>
      <c r="L2" s="3">
        <f>F2-K2</f>
        <v>75500</v>
      </c>
    </row>
    <row r="3" spans="1:13" x14ac:dyDescent="0.25">
      <c r="A3" t="s">
        <v>2</v>
      </c>
      <c r="B3" s="2" t="s">
        <v>9</v>
      </c>
      <c r="C3" s="3">
        <v>45000</v>
      </c>
      <c r="D3" s="3">
        <v>13000</v>
      </c>
      <c r="E3" s="3">
        <v>10000</v>
      </c>
      <c r="F3" s="3">
        <f>SUM(C3+D3+E3)</f>
        <v>68000</v>
      </c>
      <c r="G3" s="3">
        <v>2</v>
      </c>
      <c r="H3" s="2">
        <f>F3/20*2</f>
        <v>6800</v>
      </c>
      <c r="I3" s="2">
        <f>C3*2%</f>
        <v>900</v>
      </c>
      <c r="J3" s="2">
        <f>C3*3%</f>
        <v>1350</v>
      </c>
      <c r="K3" s="2">
        <f>H3+I3+J3</f>
        <v>9050</v>
      </c>
      <c r="L3" s="3">
        <f>F3-K3</f>
        <v>58950</v>
      </c>
    </row>
    <row r="4" spans="1:13" x14ac:dyDescent="0.25">
      <c r="A4" t="s">
        <v>3</v>
      </c>
      <c r="B4" s="2" t="s">
        <v>10</v>
      </c>
      <c r="C4" s="4">
        <v>30000</v>
      </c>
      <c r="D4" s="3">
        <v>12000</v>
      </c>
      <c r="E4" s="4">
        <v>8000</v>
      </c>
      <c r="F4" s="4">
        <f>SUM(C4+D4+E4)</f>
        <v>50000</v>
      </c>
      <c r="G4" s="4">
        <v>1</v>
      </c>
      <c r="H4" s="2">
        <f>F4/20*1</f>
        <v>2500</v>
      </c>
      <c r="I4" s="2">
        <f>C4*2%</f>
        <v>600</v>
      </c>
      <c r="J4" s="2">
        <f>C4*3%</f>
        <v>900</v>
      </c>
      <c r="K4" s="2">
        <f>H4+I4+J4</f>
        <v>4000</v>
      </c>
      <c r="L4" s="4">
        <f>F4-K4</f>
        <v>46000</v>
      </c>
    </row>
    <row r="5" spans="1:13" x14ac:dyDescent="0.25">
      <c r="A5" t="s">
        <v>4</v>
      </c>
      <c r="B5" s="2" t="s">
        <v>11</v>
      </c>
      <c r="C5" s="3">
        <v>35000</v>
      </c>
      <c r="D5" s="3">
        <v>10000</v>
      </c>
      <c r="E5" s="3">
        <v>5000</v>
      </c>
      <c r="F5" s="3">
        <f>SUM(C5+D5+E5)</f>
        <v>50000</v>
      </c>
      <c r="G5" s="3">
        <v>4</v>
      </c>
      <c r="H5" s="2">
        <f>F5/20*4</f>
        <v>10000</v>
      </c>
      <c r="I5" s="2">
        <f>C5*2%</f>
        <v>700</v>
      </c>
      <c r="J5" s="2">
        <f>C5*3%</f>
        <v>1050</v>
      </c>
      <c r="K5" s="2">
        <f>H5+I5+J5</f>
        <v>11750</v>
      </c>
      <c r="L5" s="3">
        <f>F5-K5</f>
        <v>38250</v>
      </c>
    </row>
    <row r="6" spans="1:13" x14ac:dyDescent="0.25">
      <c r="A6" t="s">
        <v>5</v>
      </c>
      <c r="B6" s="2" t="s">
        <v>12</v>
      </c>
      <c r="C6" s="3">
        <v>25000</v>
      </c>
      <c r="D6" s="3">
        <v>10000</v>
      </c>
      <c r="E6" s="3">
        <v>4000</v>
      </c>
      <c r="F6" s="3">
        <f>SUM(C6+D6+E6)</f>
        <v>39000</v>
      </c>
      <c r="G6" s="3">
        <v>3</v>
      </c>
      <c r="H6" s="2">
        <f>F6/20*3</f>
        <v>5850</v>
      </c>
      <c r="I6" s="3">
        <v>5000</v>
      </c>
      <c r="J6" s="2">
        <f>C6*3%</f>
        <v>750</v>
      </c>
      <c r="K6" s="3">
        <f>H6+I6+J6</f>
        <v>11600</v>
      </c>
      <c r="L6" s="3">
        <f>F6-K6</f>
        <v>27400</v>
      </c>
    </row>
    <row r="7" spans="1:13" x14ac:dyDescent="0.25">
      <c r="A7" t="s">
        <v>6</v>
      </c>
      <c r="G7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11</dc:creator>
  <cp:lastModifiedBy>PC 11</cp:lastModifiedBy>
  <dcterms:created xsi:type="dcterms:W3CDTF">2024-05-05T05:10:04Z</dcterms:created>
  <dcterms:modified xsi:type="dcterms:W3CDTF">2024-05-06T05:01:36Z</dcterms:modified>
</cp:coreProperties>
</file>