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ula Mateque\Documents\"/>
    </mc:Choice>
  </mc:AlternateContent>
  <bookViews>
    <workbookView xWindow="0" yWindow="0" windowWidth="20490" windowHeight="7755"/>
  </bookViews>
  <sheets>
    <sheet name="Plan1" sheetId="1" r:id="rId1"/>
  </sheets>
  <definedNames>
    <definedName name="_xlnm._FilterDatabase" localSheetId="0" hidden="1">Plan1!$A$3:$I$9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D20" i="1"/>
  <c r="G9" i="1"/>
  <c r="G15" i="1" s="1"/>
  <c r="F9" i="1"/>
  <c r="F15" i="1" s="1"/>
  <c r="E9" i="1"/>
  <c r="E15" i="1" s="1"/>
  <c r="C9" i="1"/>
  <c r="C15" i="1" s="1"/>
  <c r="D9" i="1"/>
  <c r="D15" i="1" s="1"/>
  <c r="B9" i="1"/>
  <c r="B15" i="1" s="1"/>
  <c r="I8" i="1" l="1"/>
  <c r="I7" i="1"/>
  <c r="I6" i="1"/>
  <c r="I4" i="1"/>
  <c r="I5" i="1"/>
  <c r="H6" i="1"/>
  <c r="H5" i="1"/>
  <c r="H8" i="1"/>
  <c r="H7" i="1"/>
  <c r="H4" i="1"/>
  <c r="I9" i="1" l="1"/>
  <c r="H9" i="1"/>
</calcChain>
</file>

<file path=xl/sharedStrings.xml><?xml version="1.0" encoding="utf-8"?>
<sst xmlns="http://schemas.openxmlformats.org/spreadsheetml/2006/main" count="32" uniqueCount="29">
  <si>
    <t>Despesas</t>
  </si>
  <si>
    <r>
      <t xml:space="preserve"> </t>
    </r>
    <r>
      <rPr>
        <b/>
        <sz val="12"/>
        <color theme="0"/>
        <rFont val="Calibri"/>
        <family val="2"/>
        <scheme val="minor"/>
      </rPr>
      <t>Janeiro</t>
    </r>
  </si>
  <si>
    <t xml:space="preserve"> Fevereiro</t>
  </si>
  <si>
    <t>Março</t>
  </si>
  <si>
    <t>Abril</t>
  </si>
  <si>
    <t>Maio</t>
  </si>
  <si>
    <t xml:space="preserve">Total </t>
  </si>
  <si>
    <t>Média</t>
  </si>
  <si>
    <r>
      <t xml:space="preserve"> </t>
    </r>
    <r>
      <rPr>
        <b/>
        <sz val="12"/>
        <color theme="0"/>
        <rFont val="Calibri"/>
        <family val="2"/>
        <scheme val="minor"/>
      </rPr>
      <t>Junho</t>
    </r>
  </si>
  <si>
    <r>
      <rPr>
        <b/>
        <sz val="12"/>
        <color theme="0"/>
        <rFont val="Calibri"/>
        <family val="2"/>
        <scheme val="minor"/>
      </rPr>
      <t>Total</t>
    </r>
    <r>
      <rPr>
        <sz val="11"/>
        <color theme="0"/>
        <rFont val="Calibri"/>
        <family val="2"/>
        <scheme val="minor"/>
      </rPr>
      <t xml:space="preserve"> </t>
    </r>
  </si>
  <si>
    <t>Água</t>
  </si>
  <si>
    <t>Energia</t>
  </si>
  <si>
    <t>Aluguel</t>
  </si>
  <si>
    <t>Alimentação</t>
  </si>
  <si>
    <t>Vestuário</t>
  </si>
  <si>
    <t>Receita</t>
  </si>
  <si>
    <t>Janeiro</t>
  </si>
  <si>
    <t>Fevereiro</t>
  </si>
  <si>
    <t>Junho</t>
  </si>
  <si>
    <t>Saldo</t>
  </si>
  <si>
    <t>Salário</t>
  </si>
  <si>
    <t>01)-   Calcule o total do semestre.</t>
  </si>
  <si>
    <t>02)- Calcule a média do semestre.</t>
  </si>
  <si>
    <t>03)-Calcule o total de cada  mês.</t>
  </si>
  <si>
    <t>05)-Qual é o valor da maior despesa do semestre?</t>
  </si>
  <si>
    <t>04)- Calcule o saldo de cada mês.(receita-total das despesas)</t>
  </si>
  <si>
    <t>Maior Despesas</t>
  </si>
  <si>
    <t>Menor Despesas</t>
  </si>
  <si>
    <t>Acompanhamento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</si>
</sst>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Kz&quot;_-;\-* #,##0.00\ &quot;Kz&quot;_-;_-* &quot;-&quot;??\ &quot;Kz&quot;_-;_-@_-"/>
    <numFmt numFmtId="164" formatCode="#,##0.00\ &quot;Kz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6" xfId="0" applyBorder="1"/>
    <xf numFmtId="0" fontId="4" fillId="7" borderId="18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/>
    </xf>
    <xf numFmtId="0" fontId="4" fillId="7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2" fillId="5" borderId="20" xfId="0" applyFont="1" applyFill="1" applyBorder="1"/>
    <xf numFmtId="49" fontId="0" fillId="4" borderId="7" xfId="0" applyNumberFormat="1" applyFill="1" applyBorder="1"/>
    <xf numFmtId="49" fontId="0" fillId="4" borderId="0" xfId="0" applyNumberFormat="1" applyFill="1"/>
    <xf numFmtId="49" fontId="4" fillId="7" borderId="6" xfId="0" applyNumberFormat="1" applyFont="1" applyFill="1" applyBorder="1" applyAlignment="1">
      <alignment horizontal="center"/>
    </xf>
    <xf numFmtId="49" fontId="0" fillId="7" borderId="5" xfId="0" applyNumberFormat="1" applyFill="1" applyBorder="1" applyAlignment="1">
      <alignment horizontal="center"/>
    </xf>
    <xf numFmtId="49" fontId="1" fillId="7" borderId="5" xfId="0" applyNumberFormat="1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horizontal="center"/>
    </xf>
    <xf numFmtId="49" fontId="1" fillId="7" borderId="3" xfId="0" applyNumberFormat="1" applyFont="1" applyFill="1" applyBorder="1" applyAlignment="1">
      <alignment horizontal="center"/>
    </xf>
    <xf numFmtId="49" fontId="3" fillId="7" borderId="9" xfId="0" applyNumberFormat="1" applyFont="1" applyFill="1" applyBorder="1" applyAlignment="1">
      <alignment horizontal="center"/>
    </xf>
    <xf numFmtId="49" fontId="3" fillId="7" borderId="4" xfId="0" applyNumberFormat="1" applyFont="1" applyFill="1" applyBorder="1" applyAlignment="1">
      <alignment horizontal="center"/>
    </xf>
    <xf numFmtId="49" fontId="4" fillId="7" borderId="12" xfId="0" applyNumberFormat="1" applyFont="1" applyFill="1" applyBorder="1" applyAlignment="1">
      <alignment horizontal="center"/>
    </xf>
    <xf numFmtId="49" fontId="0" fillId="6" borderId="1" xfId="0" applyNumberFormat="1" applyFill="1" applyBorder="1"/>
    <xf numFmtId="49" fontId="0" fillId="5" borderId="3" xfId="0" applyNumberFormat="1" applyFill="1" applyBorder="1"/>
    <xf numFmtId="49" fontId="0" fillId="6" borderId="9" xfId="0" applyNumberFormat="1" applyFill="1" applyBorder="1"/>
    <xf numFmtId="49" fontId="0" fillId="5" borderId="9" xfId="0" applyNumberFormat="1" applyFill="1" applyBorder="1"/>
    <xf numFmtId="49" fontId="0" fillId="6" borderId="3" xfId="0" applyNumberFormat="1" applyFill="1" applyBorder="1"/>
    <xf numFmtId="49" fontId="5" fillId="5" borderId="11" xfId="0" applyNumberFormat="1" applyFont="1" applyFill="1" applyBorder="1" applyAlignment="1">
      <alignment horizontal="center"/>
    </xf>
    <xf numFmtId="164" fontId="0" fillId="6" borderId="0" xfId="0" applyNumberFormat="1" applyFill="1"/>
    <xf numFmtId="164" fontId="0" fillId="6" borderId="2" xfId="0" applyNumberFormat="1" applyFill="1" applyBorder="1"/>
    <xf numFmtId="164" fontId="0" fillId="6" borderId="7" xfId="0" applyNumberFormat="1" applyFill="1" applyBorder="1"/>
    <xf numFmtId="164" fontId="0" fillId="6" borderId="5" xfId="0" applyNumberFormat="1" applyFill="1" applyBorder="1"/>
    <xf numFmtId="164" fontId="0" fillId="6" borderId="3" xfId="0" applyNumberFormat="1" applyFill="1" applyBorder="1"/>
    <xf numFmtId="164" fontId="0" fillId="6" borderId="9" xfId="0" applyNumberFormat="1" applyFill="1" applyBorder="1"/>
    <xf numFmtId="164" fontId="0" fillId="5" borderId="3" xfId="0" applyNumberFormat="1" applyFill="1" applyBorder="1"/>
    <xf numFmtId="164" fontId="0" fillId="5" borderId="0" xfId="0" applyNumberFormat="1" applyFill="1"/>
    <xf numFmtId="164" fontId="0" fillId="5" borderId="2" xfId="0" applyNumberFormat="1" applyFill="1" applyBorder="1"/>
    <xf numFmtId="164" fontId="0" fillId="5" borderId="6" xfId="0" applyNumberFormat="1" applyFill="1" applyBorder="1"/>
    <xf numFmtId="164" fontId="0" fillId="6" borderId="8" xfId="0" applyNumberFormat="1" applyFill="1" applyBorder="1"/>
    <xf numFmtId="164" fontId="0" fillId="6" borderId="1" xfId="0" applyNumberFormat="1" applyFill="1" applyBorder="1"/>
    <xf numFmtId="164" fontId="0" fillId="5" borderId="4" xfId="0" applyNumberFormat="1" applyFill="1" applyBorder="1"/>
    <xf numFmtId="164" fontId="0" fillId="5" borderId="9" xfId="0" applyNumberFormat="1" applyFill="1" applyBorder="1"/>
    <xf numFmtId="164" fontId="0" fillId="5" borderId="5" xfId="0" applyNumberFormat="1" applyFill="1" applyBorder="1"/>
    <xf numFmtId="44" fontId="0" fillId="6" borderId="12" xfId="0" applyNumberFormat="1" applyFill="1" applyBorder="1"/>
    <xf numFmtId="44" fontId="0" fillId="5" borderId="12" xfId="0" applyNumberFormat="1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164" fontId="0" fillId="5" borderId="10" xfId="0" applyNumberFormat="1" applyFill="1" applyBorder="1"/>
    <xf numFmtId="164" fontId="0" fillId="5" borderId="11" xfId="0" applyNumberFormat="1" applyFill="1" applyBorder="1"/>
    <xf numFmtId="44" fontId="0" fillId="5" borderId="13" xfId="0" applyNumberFormat="1" applyFill="1" applyBorder="1"/>
    <xf numFmtId="44" fontId="0" fillId="5" borderId="21" xfId="0" applyNumberFormat="1" applyFill="1" applyBorder="1"/>
    <xf numFmtId="44" fontId="0" fillId="5" borderId="11" xfId="0" applyNumberFormat="1" applyFill="1" applyBorder="1"/>
    <xf numFmtId="44" fontId="0" fillId="5" borderId="15" xfId="0" applyNumberFormat="1" applyFill="1" applyBorder="1"/>
    <xf numFmtId="44" fontId="0" fillId="5" borderId="27" xfId="0" applyNumberFormat="1" applyFill="1" applyBorder="1"/>
    <xf numFmtId="44" fontId="0" fillId="5" borderId="24" xfId="0" applyNumberFormat="1" applyFill="1" applyBorder="1"/>
    <xf numFmtId="44" fontId="0" fillId="5" borderId="17" xfId="0" applyNumberFormat="1" applyFill="1" applyBorder="1"/>
    <xf numFmtId="164" fontId="0" fillId="0" borderId="0" xfId="0" applyNumberFormat="1"/>
    <xf numFmtId="0" fontId="2" fillId="8" borderId="0" xfId="0" applyFont="1" applyFill="1"/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sqref="A1:I21"/>
    </sheetView>
  </sheetViews>
  <sheetFormatPr defaultRowHeight="15" x14ac:dyDescent="0.25"/>
  <cols>
    <col min="1" max="1" width="18.5703125" customWidth="1"/>
    <col min="2" max="2" width="18.42578125" customWidth="1"/>
    <col min="3" max="3" width="18.140625" customWidth="1"/>
    <col min="4" max="4" width="18.7109375" customWidth="1"/>
    <col min="5" max="6" width="18.5703125" customWidth="1"/>
    <col min="7" max="7" width="19" customWidth="1"/>
    <col min="8" max="8" width="17.85546875" customWidth="1"/>
    <col min="9" max="9" width="18.28515625" customWidth="1"/>
  </cols>
  <sheetData>
    <row r="1" spans="1:9" ht="28.5" customHeight="1" x14ac:dyDescent="0.5">
      <c r="A1" s="56" t="s">
        <v>28</v>
      </c>
      <c r="B1" s="43"/>
      <c r="C1" s="43"/>
      <c r="D1" s="43"/>
      <c r="E1" s="43"/>
      <c r="F1" s="43"/>
      <c r="G1" s="43"/>
      <c r="H1" s="43"/>
      <c r="I1" s="44"/>
    </row>
    <row r="2" spans="1:9" ht="3" customHeight="1" x14ac:dyDescent="0.25">
      <c r="A2" s="9"/>
      <c r="B2" s="9"/>
      <c r="C2" s="9"/>
      <c r="D2" s="9"/>
      <c r="E2" s="10"/>
      <c r="F2" s="10"/>
      <c r="G2" s="10"/>
      <c r="H2" s="10"/>
      <c r="I2" s="10"/>
    </row>
    <row r="3" spans="1:9" ht="15.75" x14ac:dyDescent="0.25">
      <c r="A3" s="11" t="s">
        <v>0</v>
      </c>
      <c r="B3" s="12" t="s">
        <v>1</v>
      </c>
      <c r="C3" s="13" t="s">
        <v>2</v>
      </c>
      <c r="D3" s="11" t="s">
        <v>3</v>
      </c>
      <c r="E3" s="14" t="s">
        <v>4</v>
      </c>
      <c r="F3" s="15" t="s">
        <v>5</v>
      </c>
      <c r="G3" s="16" t="s">
        <v>8</v>
      </c>
      <c r="H3" s="17" t="s">
        <v>9</v>
      </c>
      <c r="I3" s="18" t="s">
        <v>7</v>
      </c>
    </row>
    <row r="4" spans="1:9" x14ac:dyDescent="0.25">
      <c r="A4" s="19" t="s">
        <v>10</v>
      </c>
      <c r="B4" s="25">
        <v>15000</v>
      </c>
      <c r="C4" s="26">
        <v>10000</v>
      </c>
      <c r="D4" s="27">
        <v>90000</v>
      </c>
      <c r="E4" s="28">
        <v>80000</v>
      </c>
      <c r="F4" s="29">
        <v>12000</v>
      </c>
      <c r="G4" s="30">
        <v>13000</v>
      </c>
      <c r="H4" s="29">
        <f>B4+C4+D4+E4+F4+G4</f>
        <v>220000</v>
      </c>
      <c r="I4" s="40">
        <f>(B4+C4+D4+E4+F4+G4)/6</f>
        <v>36666.666666666664</v>
      </c>
    </row>
    <row r="5" spans="1:9" x14ac:dyDescent="0.25">
      <c r="A5" s="20" t="s">
        <v>11</v>
      </c>
      <c r="B5" s="31">
        <v>19000</v>
      </c>
      <c r="C5" s="31">
        <v>17000</v>
      </c>
      <c r="D5" s="32">
        <v>16000</v>
      </c>
      <c r="E5" s="33">
        <v>15000</v>
      </c>
      <c r="F5" s="31">
        <v>18000</v>
      </c>
      <c r="G5" s="34">
        <v>19000</v>
      </c>
      <c r="H5" s="39">
        <f>B5+C5+D5+E5+F5+G5</f>
        <v>104000</v>
      </c>
      <c r="I5" s="41">
        <f>(B5+C5+D5+E5+F5+G5)/6</f>
        <v>17333.333333333332</v>
      </c>
    </row>
    <row r="6" spans="1:9" x14ac:dyDescent="0.25">
      <c r="A6" s="21" t="s">
        <v>12</v>
      </c>
      <c r="B6" s="28">
        <v>70000</v>
      </c>
      <c r="C6" s="28">
        <v>75000</v>
      </c>
      <c r="D6" s="35">
        <v>70000</v>
      </c>
      <c r="E6" s="29">
        <v>73000</v>
      </c>
      <c r="F6" s="26">
        <v>1000000</v>
      </c>
      <c r="G6" s="36">
        <v>70000</v>
      </c>
      <c r="H6" s="26">
        <f>B6+C6+D6+E6+F6+G6</f>
        <v>1358000</v>
      </c>
      <c r="I6" s="40">
        <f>(B6+C6+D6+E6+F6+G6)/6</f>
        <v>226333.33333333334</v>
      </c>
    </row>
    <row r="7" spans="1:9" x14ac:dyDescent="0.25">
      <c r="A7" s="22" t="s">
        <v>13</v>
      </c>
      <c r="B7" s="31">
        <v>35000</v>
      </c>
      <c r="C7" s="37">
        <v>60000</v>
      </c>
      <c r="D7" s="32">
        <v>25000</v>
      </c>
      <c r="E7" s="33">
        <v>40000</v>
      </c>
      <c r="F7" s="31">
        <v>40000</v>
      </c>
      <c r="G7" s="38">
        <v>45000</v>
      </c>
      <c r="H7" s="31">
        <f>B7+C7+D7+E7+F7+G7</f>
        <v>245000</v>
      </c>
      <c r="I7" s="41">
        <f>(B7+C7+D7+E7+F7+G7)/6</f>
        <v>40833.333333333336</v>
      </c>
    </row>
    <row r="8" spans="1:9" x14ac:dyDescent="0.25">
      <c r="A8" s="23" t="s">
        <v>14</v>
      </c>
      <c r="B8" s="29">
        <v>40000</v>
      </c>
      <c r="C8" s="29">
        <v>60000</v>
      </c>
      <c r="D8" s="30">
        <v>50000</v>
      </c>
      <c r="E8" s="29">
        <v>55000</v>
      </c>
      <c r="F8" s="28">
        <v>55000</v>
      </c>
      <c r="G8" s="29">
        <v>60000</v>
      </c>
      <c r="H8" s="28">
        <f>B8+C8+D8+E8+F8+G8</f>
        <v>320000</v>
      </c>
      <c r="I8" s="40">
        <f>(B8+C8+D8+E8+F8+G8)/6</f>
        <v>53333.333333333336</v>
      </c>
    </row>
    <row r="9" spans="1:9" ht="16.5" thickBot="1" x14ac:dyDescent="0.3">
      <c r="A9" s="24" t="s">
        <v>6</v>
      </c>
      <c r="B9" s="45">
        <f>B4+B5+B6+B7+B8</f>
        <v>179000</v>
      </c>
      <c r="C9" s="45">
        <f>C4+C5+C6+C7+C8</f>
        <v>222000</v>
      </c>
      <c r="D9" s="45">
        <f>D4+D5+D6+D7+D8</f>
        <v>251000</v>
      </c>
      <c r="E9" s="45">
        <f>E4+E5+E6+E7+E8</f>
        <v>263000</v>
      </c>
      <c r="F9" s="45">
        <f>F4+F5+F6+F7+F8</f>
        <v>1125000</v>
      </c>
      <c r="G9" s="46">
        <f>G4+G5+G6+G7+G8</f>
        <v>207000</v>
      </c>
      <c r="H9" s="45">
        <f>H4+H5+H6+H7+H8</f>
        <v>2247000</v>
      </c>
      <c r="I9" s="47">
        <f>I4+I5+I6+I7+I8</f>
        <v>374500</v>
      </c>
    </row>
    <row r="11" spans="1:9" ht="15.75" thickBot="1" x14ac:dyDescent="0.3"/>
    <row r="12" spans="1:9" ht="15.75" x14ac:dyDescent="0.25">
      <c r="A12" s="3" t="s">
        <v>15</v>
      </c>
      <c r="B12" s="4" t="s">
        <v>16</v>
      </c>
      <c r="C12" s="4" t="s">
        <v>17</v>
      </c>
      <c r="D12" s="6" t="s">
        <v>3</v>
      </c>
      <c r="E12" s="4" t="s">
        <v>4</v>
      </c>
      <c r="F12" s="5" t="s">
        <v>5</v>
      </c>
      <c r="G12" s="2" t="s">
        <v>18</v>
      </c>
    </row>
    <row r="13" spans="1:9" ht="15.75" thickBot="1" x14ac:dyDescent="0.3">
      <c r="A13" s="8" t="s">
        <v>20</v>
      </c>
      <c r="B13" s="48">
        <v>100000</v>
      </c>
      <c r="C13" s="48">
        <v>100000</v>
      </c>
      <c r="D13" s="49">
        <v>100000</v>
      </c>
      <c r="E13" s="48">
        <v>100000</v>
      </c>
      <c r="F13" s="50">
        <v>100000</v>
      </c>
      <c r="G13" s="51">
        <v>100000</v>
      </c>
    </row>
    <row r="14" spans="1:9" ht="15.75" thickBot="1" x14ac:dyDescent="0.3"/>
    <row r="15" spans="1:9" ht="16.5" thickBot="1" x14ac:dyDescent="0.3">
      <c r="A15" s="7" t="s">
        <v>19</v>
      </c>
      <c r="B15" s="52">
        <f>B13-B9</f>
        <v>-79000</v>
      </c>
      <c r="C15" s="52">
        <f>C13-C9</f>
        <v>-122000</v>
      </c>
      <c r="D15" s="52">
        <f>D13-D9</f>
        <v>-151000</v>
      </c>
      <c r="E15" s="52">
        <f>E13-E9</f>
        <v>-163000</v>
      </c>
      <c r="F15" s="52">
        <f>F13-F9</f>
        <v>-1025000</v>
      </c>
      <c r="G15" s="53">
        <f>G13+G9</f>
        <v>307000</v>
      </c>
    </row>
    <row r="17" spans="1:5" x14ac:dyDescent="0.25">
      <c r="A17" s="42" t="s">
        <v>21</v>
      </c>
      <c r="B17" s="42"/>
    </row>
    <row r="18" spans="1:5" x14ac:dyDescent="0.25">
      <c r="A18" s="42" t="s">
        <v>22</v>
      </c>
      <c r="B18" s="42"/>
    </row>
    <row r="19" spans="1:5" ht="15.75" thickBot="1" x14ac:dyDescent="0.3">
      <c r="A19" s="42" t="s">
        <v>23</v>
      </c>
      <c r="B19" s="42"/>
      <c r="C19" s="1"/>
      <c r="D19" s="55" t="s">
        <v>26</v>
      </c>
      <c r="E19" s="55" t="s">
        <v>27</v>
      </c>
    </row>
    <row r="20" spans="1:5" x14ac:dyDescent="0.25">
      <c r="A20" s="42" t="s">
        <v>25</v>
      </c>
      <c r="B20" s="42"/>
      <c r="C20" s="42"/>
      <c r="D20" s="54">
        <f>MAX(B4:G8)</f>
        <v>1000000</v>
      </c>
      <c r="E20" s="54">
        <f>MIN(B4:G8)</f>
        <v>10000</v>
      </c>
    </row>
    <row r="21" spans="1:5" x14ac:dyDescent="0.25">
      <c r="A21" t="s">
        <v>24</v>
      </c>
    </row>
  </sheetData>
  <autoFilter ref="A3:I9"/>
  <mergeCells count="5">
    <mergeCell ref="A17:B17"/>
    <mergeCell ref="A18:B18"/>
    <mergeCell ref="A19:B19"/>
    <mergeCell ref="A20:C20"/>
    <mergeCell ref="A1:I1"/>
  </mergeCells>
  <conditionalFormatting sqref="B4:G8">
    <cfRule type="cellIs" dxfId="0" priority="3" operator="equal">
      <formula>$D$20</formula>
    </cfRule>
    <cfRule type="cellIs" dxfId="1" priority="1" operator="equal">
      <formula>$E$20</formula>
    </cfRule>
  </conditionalFormatting>
  <conditionalFormatting sqref="E22">
    <cfRule type="cellIs" dxfId="4" priority="2" operator="equal">
      <formula>$E$20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Mateque</dc:creator>
  <cp:lastModifiedBy>Paula Mateque</cp:lastModifiedBy>
  <cp:lastPrinted>2026-07-10T10:27:37Z</cp:lastPrinted>
  <dcterms:created xsi:type="dcterms:W3CDTF">2026-07-09T10:36:21Z</dcterms:created>
  <dcterms:modified xsi:type="dcterms:W3CDTF">2026-07-10T10:27:53Z</dcterms:modified>
</cp:coreProperties>
</file>